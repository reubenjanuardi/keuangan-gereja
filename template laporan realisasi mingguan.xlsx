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NERIMAAN" sheetId="1" state="visible" r:id="rId3"/>
    <sheet name="PENGELUARAN" sheetId="2" state="visible" r:id="rId4"/>
    <sheet name="SALDO KAS &amp; BAN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<sst xmlns="http://schemas.openxmlformats.org/spreadsheetml/2006/main" count="1100" uniqueCount="877">
  <si>
    <t xml:space="preserve">GPIB JEMAAT HOSIANA</t>
  </si>
  <si>
    <t xml:space="preserve">BUKU PEMBANTU REALISASI MINGGUAN - PENERIMAAN</t>
  </si>
  <si>
    <t xml:space="preserve">Minggu ke- ___   Periode: ___________ s.d. ___________</t>
  </si>
  <si>
    <t xml:space="preserve">No. MA</t>
  </si>
  <si>
    <t xml:space="preserve">MATA ANGGARAN</t>
  </si>
  <si>
    <t xml:space="preserve">JUMLAH (Rp)</t>
  </si>
  <si>
    <t xml:space="preserve">21</t>
  </si>
  <si>
    <t xml:space="preserve">KOLEKTE / PERSEMBAHAN</t>
  </si>
  <si>
    <t xml:space="preserve">21.01</t>
  </si>
  <si>
    <t xml:space="preserve">Kolekte Ibadah Umum</t>
  </si>
  <si>
    <t xml:space="preserve">21.01.01</t>
  </si>
  <si>
    <t xml:space="preserve">Ibadah Hari Minggu Pagi</t>
  </si>
  <si>
    <t xml:space="preserve">21.01.02</t>
  </si>
  <si>
    <t xml:space="preserve">Ibadah Hari Minggu Sore</t>
  </si>
  <si>
    <t xml:space="preserve">21.01.03</t>
  </si>
  <si>
    <t xml:space="preserve">Ibadah Malam Natal</t>
  </si>
  <si>
    <t xml:space="preserve">21.01.04</t>
  </si>
  <si>
    <t xml:space="preserve">Ibadah Natal I</t>
  </si>
  <si>
    <t xml:space="preserve">21.01.05</t>
  </si>
  <si>
    <t xml:space="preserve">Ibadah Natal II</t>
  </si>
  <si>
    <t xml:space="preserve">21.01.06</t>
  </si>
  <si>
    <t xml:space="preserve">Ibadah Malam Akhir Tahun</t>
  </si>
  <si>
    <t xml:space="preserve">21.01.07</t>
  </si>
  <si>
    <t xml:space="preserve">Ibadah Tahun Baru</t>
  </si>
  <si>
    <t xml:space="preserve">21.02</t>
  </si>
  <si>
    <t xml:space="preserve">Kolekte Ibadah Keluarga</t>
  </si>
  <si>
    <t xml:space="preserve">21.02.01</t>
  </si>
  <si>
    <t xml:space="preserve">Ibadah Rumah Tangga</t>
  </si>
  <si>
    <t xml:space="preserve">21.02.02</t>
  </si>
  <si>
    <t xml:space="preserve">Ibadah keluarga malam Natal</t>
  </si>
  <si>
    <t xml:space="preserve">21.02.03</t>
  </si>
  <si>
    <t xml:space="preserve">Ibadah keluarga malam Akhir Tahun</t>
  </si>
  <si>
    <t xml:space="preserve">21.03</t>
  </si>
  <si>
    <t xml:space="preserve">Kolekte Ibadah Unit Misioner (PELKAT)</t>
  </si>
  <si>
    <t xml:space="preserve">21.03.01</t>
  </si>
  <si>
    <t xml:space="preserve">Pelkat Persekutuan Anak (PA)</t>
  </si>
  <si>
    <t xml:space="preserve">21.03.02</t>
  </si>
  <si>
    <t xml:space="preserve">Pelkat Persekutuan Taruna (PT)</t>
  </si>
  <si>
    <t xml:space="preserve">21.03.03</t>
  </si>
  <si>
    <t xml:space="preserve">Pelkat Gerakan Pemuda (GP)</t>
  </si>
  <si>
    <t xml:space="preserve">21.03.04</t>
  </si>
  <si>
    <t xml:space="preserve">Pelkat Persekutuan Kaum Perempuan (PKP)</t>
  </si>
  <si>
    <t xml:space="preserve">21.03.05</t>
  </si>
  <si>
    <t xml:space="preserve">Pelkat Persekutuan Kaum Bapak (PKB)</t>
  </si>
  <si>
    <t xml:space="preserve">21.03.06</t>
  </si>
  <si>
    <t xml:space="preserve">Pelkat Persekutuan Kaum Lanjut Usia (PKLU)</t>
  </si>
  <si>
    <t xml:space="preserve">21.04</t>
  </si>
  <si>
    <t xml:space="preserve">Kolekte Ibadah Komisi</t>
  </si>
  <si>
    <t xml:space="preserve">21.04.01</t>
  </si>
  <si>
    <t xml:space="preserve">Diakonia</t>
  </si>
  <si>
    <t xml:space="preserve">21.04.02</t>
  </si>
  <si>
    <t xml:space="preserve">Kelas Katekisasi</t>
  </si>
  <si>
    <t xml:space="preserve">21.05</t>
  </si>
  <si>
    <t xml:space="preserve">Kolekte Pengucapan Syukur</t>
  </si>
  <si>
    <t xml:space="preserve">21.06</t>
  </si>
  <si>
    <t xml:space="preserve">Kolekte Ibadah Jumat Agung</t>
  </si>
  <si>
    <t xml:space="preserve">21.07</t>
  </si>
  <si>
    <t xml:space="preserve">Kolekte Ibadah Lainnya</t>
  </si>
  <si>
    <t xml:space="preserve">21.07.01</t>
  </si>
  <si>
    <t xml:space="preserve">Ibadah Paskah Subuh</t>
  </si>
  <si>
    <t xml:space="preserve">21.07.02</t>
  </si>
  <si>
    <t xml:space="preserve">Ibadah Paskah Pelkat PA</t>
  </si>
  <si>
    <t xml:space="preserve">21.07.03</t>
  </si>
  <si>
    <t xml:space="preserve">Ibadah Kenaikan Tuhan Yesus</t>
  </si>
  <si>
    <t xml:space="preserve">21.07.04</t>
  </si>
  <si>
    <t xml:space="preserve">Ibadah HUT Hosiana</t>
  </si>
  <si>
    <t xml:space="preserve">21.07.05</t>
  </si>
  <si>
    <t xml:space="preserve">Ibadah HUT RI</t>
  </si>
  <si>
    <t xml:space="preserve">21.07.06</t>
  </si>
  <si>
    <t xml:space="preserve">Ibadah Hari Doa GPIB</t>
  </si>
  <si>
    <t xml:space="preserve">21.07.07</t>
  </si>
  <si>
    <t xml:space="preserve">Gabungan MUPEL GP,PKP,PKB</t>
  </si>
  <si>
    <t xml:space="preserve">21.08</t>
  </si>
  <si>
    <t xml:space="preserve">Persembahan Persepuluhan</t>
  </si>
  <si>
    <t xml:space="preserve">21.09</t>
  </si>
  <si>
    <t xml:space="preserve">Persembahan Syukur</t>
  </si>
  <si>
    <t xml:space="preserve">21.09.01</t>
  </si>
  <si>
    <t xml:space="preserve">Ibadah Minggu pagi</t>
  </si>
  <si>
    <t xml:space="preserve">21.09.02</t>
  </si>
  <si>
    <t xml:space="preserve">Ibadah Minggu sore</t>
  </si>
  <si>
    <t xml:space="preserve">21.09.03</t>
  </si>
  <si>
    <t xml:space="preserve">21.09.04</t>
  </si>
  <si>
    <t xml:space="preserve">Ibadah Hari Natal</t>
  </si>
  <si>
    <t xml:space="preserve">21.09.05</t>
  </si>
  <si>
    <t xml:space="preserve">Ibadah Hari Natal 2</t>
  </si>
  <si>
    <t xml:space="preserve">21.09.06</t>
  </si>
  <si>
    <t xml:space="preserve">21.09.07</t>
  </si>
  <si>
    <t xml:space="preserve">21.10</t>
  </si>
  <si>
    <t xml:space="preserve">Persembahan Khusus</t>
  </si>
  <si>
    <t xml:space="preserve">21.10.01</t>
  </si>
  <si>
    <t xml:space="preserve">a. Perorangan</t>
  </si>
  <si>
    <t xml:space="preserve">21.10.02</t>
  </si>
  <si>
    <t xml:space="preserve">b. Perjamuan Kudus</t>
  </si>
  <si>
    <t xml:space="preserve">21.10.03</t>
  </si>
  <si>
    <t xml:space="preserve">c. Malam Natal</t>
  </si>
  <si>
    <t xml:space="preserve">21.10.04</t>
  </si>
  <si>
    <t xml:space="preserve">d. Hari Natal</t>
  </si>
  <si>
    <t xml:space="preserve">21.10.05</t>
  </si>
  <si>
    <t xml:space="preserve">e. Malam Akhir Tahun</t>
  </si>
  <si>
    <t xml:space="preserve">21.10.06</t>
  </si>
  <si>
    <t xml:space="preserve">f. Tahun Baru ( Bulan Kelahiran )</t>
  </si>
  <si>
    <t xml:space="preserve">21.10.07</t>
  </si>
  <si>
    <t xml:space="preserve">g. Baptisan</t>
  </si>
  <si>
    <t xml:space="preserve">21.10.08</t>
  </si>
  <si>
    <t xml:space="preserve">h. Peneguhan Sidi</t>
  </si>
  <si>
    <t xml:space="preserve">21.11</t>
  </si>
  <si>
    <t xml:space="preserve">Persembahan Syukur (SBU/SGDK)</t>
  </si>
  <si>
    <t xml:space="preserve">21.12</t>
  </si>
  <si>
    <t xml:space="preserve">Persembahan Syukur Jumat Agung</t>
  </si>
  <si>
    <t xml:space="preserve">211</t>
  </si>
  <si>
    <t xml:space="preserve">Retur</t>
  </si>
  <si>
    <t xml:space="preserve">22</t>
  </si>
  <si>
    <t xml:space="preserve">BIDANG-BIDANG</t>
  </si>
  <si>
    <t xml:space="preserve">22.01</t>
  </si>
  <si>
    <t xml:space="preserve">TEOLOGI &amp; PERSIDANGAN GEREJAWI</t>
  </si>
  <si>
    <t xml:space="preserve">22.01.01</t>
  </si>
  <si>
    <t xml:space="preserve">Ibadah Rabu Doa GPIB</t>
  </si>
  <si>
    <t xml:space="preserve">22.01.02</t>
  </si>
  <si>
    <t xml:space="preserve">Ibadah Kamis Putih</t>
  </si>
  <si>
    <t xml:space="preserve">22.01.03</t>
  </si>
  <si>
    <t xml:space="preserve">Ibadah Sabtu Teduh</t>
  </si>
  <si>
    <t xml:space="preserve">22.01.04</t>
  </si>
  <si>
    <t xml:space="preserve">Ibadah Kenaikan Tuhan Yesus Kristus</t>
  </si>
  <si>
    <t xml:space="preserve">22.01.05</t>
  </si>
  <si>
    <t xml:space="preserve">Ibadah Perayaan Natal Jemaat</t>
  </si>
  <si>
    <t xml:space="preserve">22.01.06</t>
  </si>
  <si>
    <t xml:space="preserve">Hari Kemerdekaan</t>
  </si>
  <si>
    <t xml:space="preserve">22.01.07</t>
  </si>
  <si>
    <t xml:space="preserve">Persidangan Sinode Tahunan (PST)</t>
  </si>
  <si>
    <t xml:space="preserve">22.01.08</t>
  </si>
  <si>
    <t xml:space="preserve">Musyawarah Tahunan Mupel Jkt Pusat Tahun 2026/2027</t>
  </si>
  <si>
    <t xml:space="preserve">22.01.09</t>
  </si>
  <si>
    <t xml:space="preserve">Ibadah HUT GPIB Jemaat Hosiana ke-49</t>
  </si>
  <si>
    <t xml:space="preserve">22.01.10</t>
  </si>
  <si>
    <t xml:space="preserve">Ibadah Paskah Jemaat</t>
  </si>
  <si>
    <t xml:space="preserve">22.01.11</t>
  </si>
  <si>
    <t xml:space="preserve">Peneguhan Sidi Reguler</t>
  </si>
  <si>
    <t xml:space="preserve">22.01.12</t>
  </si>
  <si>
    <t xml:space="preserve">Peneguhan Sidi Dewasa</t>
  </si>
  <si>
    <t xml:space="preserve">22.01.13</t>
  </si>
  <si>
    <t xml:space="preserve">Service Rutin Alat Musik Piano</t>
  </si>
  <si>
    <t xml:space="preserve">22.01.14</t>
  </si>
  <si>
    <t xml:space="preserve">Latihan pemandu lagu untuk IHM</t>
  </si>
  <si>
    <t xml:space="preserve">22.01.15</t>
  </si>
  <si>
    <t xml:space="preserve">Latihan pemandu lagu untuk Ibadah Hari Raya Gerejawi</t>
  </si>
  <si>
    <t xml:space="preserve">22.01.16</t>
  </si>
  <si>
    <t xml:space="preserve">Pianis non-Hosiana untuk back up pianis Hosiana</t>
  </si>
  <si>
    <t xml:space="preserve">22.01.17</t>
  </si>
  <si>
    <t xml:space="preserve">Paduan Suara / Vocal Group dari Gereja Luar</t>
  </si>
  <si>
    <t xml:space="preserve">22.01.18</t>
  </si>
  <si>
    <t xml:space="preserve">Ibadah Hari Minggu Pelayanan Anak ( IHMPA )</t>
  </si>
  <si>
    <t xml:space="preserve">22.01.19</t>
  </si>
  <si>
    <t xml:space="preserve">Perayaan Paskah Anak 2027</t>
  </si>
  <si>
    <t xml:space="preserve">22.01.20</t>
  </si>
  <si>
    <t xml:space="preserve">Penyediaan Alat Peraga</t>
  </si>
  <si>
    <t xml:space="preserve">22.01.21</t>
  </si>
  <si>
    <t xml:space="preserve">Persiapan Pelayan PA</t>
  </si>
  <si>
    <t xml:space="preserve">22.01.22</t>
  </si>
  <si>
    <t xml:space="preserve">Little Blessing Market</t>
  </si>
  <si>
    <t xml:space="preserve">22.01.23</t>
  </si>
  <si>
    <t xml:space="preserve">Ibadah HUT Pelkat PA GPIB ke 67 (6Sep1959) &amp; PA GPIB Hosiana ke 48 (23Sep1978)</t>
  </si>
  <si>
    <t xml:space="preserve">22.01.24</t>
  </si>
  <si>
    <t xml:space="preserve">Ibadah padang Pelkat PT se-Mupel Jakarta Pusat</t>
  </si>
  <si>
    <t xml:space="preserve">22.01.25</t>
  </si>
  <si>
    <t xml:space="preserve">Ibadah HUT Pelkat PT GPIB yang ke 44 tahun ( 30 Januari 1983 )</t>
  </si>
  <si>
    <t xml:space="preserve">22.01.26</t>
  </si>
  <si>
    <t xml:space="preserve">Ibadah HUT Pelkat PT Hosiana yang ke 41 tahun ( 09 Oktober 1982 )</t>
  </si>
  <si>
    <t xml:space="preserve">22.01.27</t>
  </si>
  <si>
    <t xml:space="preserve">Majelis Bercerita di IHMPT</t>
  </si>
  <si>
    <t xml:space="preserve">22.01.28</t>
  </si>
  <si>
    <t xml:space="preserve">Ibadah Gabungan Pelkat GP se-Mupel GPIB Jakarta Pusat.</t>
  </si>
  <si>
    <t xml:space="preserve">22.01.29</t>
  </si>
  <si>
    <t xml:space="preserve">Ibadah Corak Muda (HUT GP Hosiana ke 46)</t>
  </si>
  <si>
    <t xml:space="preserve">22.01.30</t>
  </si>
  <si>
    <t xml:space="preserve">Ibadah Corak Muda (HUT GP GPIB 76)</t>
  </si>
  <si>
    <t xml:space="preserve">22.01.31</t>
  </si>
  <si>
    <t xml:space="preserve">Ibadah Gabungan Pelkat PKP</t>
  </si>
  <si>
    <t xml:space="preserve">22.01.32</t>
  </si>
  <si>
    <t xml:space="preserve">Ibadah HUT Pelkat PKP Hosiana ke 49 (10 Feb) dan HUT Pelkat PKP GPIB ke 62 (18 Feb)</t>
  </si>
  <si>
    <t xml:space="preserve">22.01.33</t>
  </si>
  <si>
    <t xml:space="preserve">Latihan Padus PKP Mupel Jakpus</t>
  </si>
  <si>
    <t xml:space="preserve">22.01.34</t>
  </si>
  <si>
    <t xml:space="preserve">Latihan paduan suara PKP Hosiana</t>
  </si>
  <si>
    <t xml:space="preserve">22.01.35</t>
  </si>
  <si>
    <t xml:space="preserve">Ibadah syukur ACWC</t>
  </si>
  <si>
    <t xml:space="preserve">22.01.36</t>
  </si>
  <si>
    <t xml:space="preserve">Ibadah HUT Pelkat PKB GPIB ke 46 (11 Juli 1980)</t>
  </si>
  <si>
    <t xml:space="preserve">22.01.37</t>
  </si>
  <si>
    <t xml:space="preserve">Ibadah HUT Pelkat PKB Hosiana ke 48 (23 Agustus 1978)</t>
  </si>
  <si>
    <t xml:space="preserve">22.01.38</t>
  </si>
  <si>
    <t xml:space="preserve">Ibadah Gabungan Pelkat PKB Mupel Jakarta Pusat</t>
  </si>
  <si>
    <t xml:space="preserve">22.01.39</t>
  </si>
  <si>
    <t xml:space="preserve">Ibadah Gabungan Pelkat PKLU GPIB Mupel Jakarta Pusat</t>
  </si>
  <si>
    <t xml:space="preserve">22.01.40</t>
  </si>
  <si>
    <t xml:space="preserve">Ibadah HUT Pelkat PKLU ke 16</t>
  </si>
  <si>
    <t xml:space="preserve">22.01.41</t>
  </si>
  <si>
    <t xml:space="preserve">Ibadah HUT Pelkat PKLU Hosiana ke 31 (18 Des 1995)</t>
  </si>
  <si>
    <t xml:space="preserve">22.02</t>
  </si>
  <si>
    <t xml:space="preserve">PELKES &amp; LINGKUNGAN HIDUP</t>
  </si>
  <si>
    <t xml:space="preserve">Diakonia bulanan</t>
  </si>
  <si>
    <t xml:space="preserve">Diakonia Natal</t>
  </si>
  <si>
    <t xml:space="preserve">Diakonia Paskah</t>
  </si>
  <si>
    <t xml:space="preserve">21.02.04</t>
  </si>
  <si>
    <t xml:space="preserve">Iuran STIKES Griya Husada - Surabaya</t>
  </si>
  <si>
    <t xml:space="preserve">21.02.05</t>
  </si>
  <si>
    <t xml:space="preserve">Diakonia Jemaat yang sakit</t>
  </si>
  <si>
    <t xml:space="preserve">21.02.06</t>
  </si>
  <si>
    <t xml:space="preserve">BUT (Bantuan Uang Transport) kunjungan jemaat di RS.</t>
  </si>
  <si>
    <t xml:space="preserve">21.02.07</t>
  </si>
  <si>
    <t xml:space="preserve">Diakonia Dukacita</t>
  </si>
  <si>
    <t xml:space="preserve">21.02.08</t>
  </si>
  <si>
    <t xml:space="preserve">Karangan Bunga Dukacita</t>
  </si>
  <si>
    <t xml:space="preserve">21.02.09</t>
  </si>
  <si>
    <t xml:space="preserve">Pengadaan kendaraan Pendeta di Pos Pelkes</t>
  </si>
  <si>
    <t xml:space="preserve">22.03</t>
  </si>
  <si>
    <t xml:space="preserve">GERMASA</t>
  </si>
  <si>
    <t xml:space="preserve">22.03.01</t>
  </si>
  <si>
    <t xml:space="preserve">Berbagi Kasih Natal</t>
  </si>
  <si>
    <t xml:space="preserve">22.03.02</t>
  </si>
  <si>
    <t xml:space="preserve">Pembagian Takjil</t>
  </si>
  <si>
    <t xml:space="preserve">22.03.03</t>
  </si>
  <si>
    <t xml:space="preserve">Iuran YAPENDIK GPIB</t>
  </si>
  <si>
    <t xml:space="preserve">22.03.04</t>
  </si>
  <si>
    <t xml:space="preserve">Kunjungan Lapas/Rutan</t>
  </si>
  <si>
    <t xml:space="preserve">22.03.05</t>
  </si>
  <si>
    <t xml:space="preserve">Spanduk Hari Raya Gerejawi dan Hari Raya Agama lain.</t>
  </si>
  <si>
    <t xml:space="preserve">22.03.06</t>
  </si>
  <si>
    <t xml:space="preserve">Karangan bunga Ucapan Selamat.</t>
  </si>
  <si>
    <t xml:space="preserve">22.03.07</t>
  </si>
  <si>
    <t xml:space="preserve">Kebersihan Lingkungan</t>
  </si>
  <si>
    <t xml:space="preserve">22.04</t>
  </si>
  <si>
    <t xml:space="preserve">PPSDI &amp; PPK</t>
  </si>
  <si>
    <t xml:space="preserve">22.04.01</t>
  </si>
  <si>
    <t xml:space="preserve">Persiapan Presbiter</t>
  </si>
  <si>
    <t xml:space="preserve">22.04.02</t>
  </si>
  <si>
    <t xml:space="preserve">Sosialisasi PKA 2026/2027 (Mupel)</t>
  </si>
  <si>
    <t xml:space="preserve">22.04.03</t>
  </si>
  <si>
    <t xml:space="preserve">Penyediaan Alat Peraga PA</t>
  </si>
  <si>
    <t xml:space="preserve">22.04.04</t>
  </si>
  <si>
    <t xml:space="preserve">22.04.05</t>
  </si>
  <si>
    <t xml:space="preserve">22.04.06</t>
  </si>
  <si>
    <t xml:space="preserve">22.04.07</t>
  </si>
  <si>
    <t xml:space="preserve">SOBAT PA ( Story Of Bible Pelkat PA )</t>
  </si>
  <si>
    <t xml:space="preserve">22.04.08</t>
  </si>
  <si>
    <t xml:space="preserve">HUT KE 65 PA GPIB (Mupel)</t>
  </si>
  <si>
    <t xml:space="preserve">22.04.09</t>
  </si>
  <si>
    <t xml:space="preserve">Persiapan Pelayan PT</t>
  </si>
  <si>
    <t xml:space="preserve">22.04.10</t>
  </si>
  <si>
    <t xml:space="preserve">Olahraga GP dan PT</t>
  </si>
  <si>
    <t xml:space="preserve">22.04.11</t>
  </si>
  <si>
    <t xml:space="preserve">E-Sports GP</t>
  </si>
  <si>
    <t xml:space="preserve">22.04.12</t>
  </si>
  <si>
    <t xml:space="preserve">Tukar Kado (Valentine Day)</t>
  </si>
  <si>
    <t xml:space="preserve">22.04.13</t>
  </si>
  <si>
    <t xml:space="preserve">Retreat GP Mupel JakPus</t>
  </si>
  <si>
    <t xml:space="preserve">22.04.14</t>
  </si>
  <si>
    <t xml:space="preserve">Pertandingan remi</t>
  </si>
  <si>
    <t xml:space="preserve">22.04.15</t>
  </si>
  <si>
    <t xml:space="preserve">Pembinaan Eco Enzim</t>
  </si>
  <si>
    <t xml:space="preserve">22.04.16</t>
  </si>
  <si>
    <t xml:space="preserve">Saya dan PKLU GPIB Membaca Alkitab Bersama</t>
  </si>
  <si>
    <t xml:space="preserve">22.04.17</t>
  </si>
  <si>
    <t xml:space="preserve">Katekisasi Reguler</t>
  </si>
  <si>
    <t xml:space="preserve">22.04.18</t>
  </si>
  <si>
    <t xml:space="preserve">Katekisasi Dewasa / perkawinan</t>
  </si>
  <si>
    <t xml:space="preserve">22.04.19</t>
  </si>
  <si>
    <t xml:space="preserve">Sosialisasi PKA dan Pemilihan KP3 (MJP)</t>
  </si>
  <si>
    <t xml:space="preserve">22.04.20</t>
  </si>
  <si>
    <t xml:space="preserve">Retreat Katekisasi</t>
  </si>
  <si>
    <t xml:space="preserve">22.05</t>
  </si>
  <si>
    <t xml:space="preserve">INFORKOM &amp; LITBANG</t>
  </si>
  <si>
    <t xml:space="preserve">22.05.01</t>
  </si>
  <si>
    <t xml:space="preserve">Persiapan Multimedia &amp; Sound System</t>
  </si>
  <si>
    <t xml:space="preserve">22.05.02</t>
  </si>
  <si>
    <t xml:space="preserve">Social Media Content Creator</t>
  </si>
  <si>
    <t xml:space="preserve">22.05.03</t>
  </si>
  <si>
    <t xml:space="preserve">Langganan Zoom Meeting Pro</t>
  </si>
  <si>
    <t xml:space="preserve">22.06</t>
  </si>
  <si>
    <t xml:space="preserve">PENGEMBANGAN EKONOMI GEREJA</t>
  </si>
  <si>
    <t xml:space="preserve">22.06.01</t>
  </si>
  <si>
    <t xml:space="preserve">Christmas Carol</t>
  </si>
  <si>
    <t xml:space="preserve">22.06.02</t>
  </si>
  <si>
    <t xml:space="preserve">Penjualan barang bekas</t>
  </si>
  <si>
    <t xml:space="preserve">22.06.03</t>
  </si>
  <si>
    <t xml:space="preserve">Bazaar makanan</t>
  </si>
  <si>
    <t xml:space="preserve">22.06.04</t>
  </si>
  <si>
    <t xml:space="preserve">Merchandise</t>
  </si>
  <si>
    <t xml:space="preserve">22.06.05</t>
  </si>
  <si>
    <t xml:space="preserve">Sewa RSG dan Gereja</t>
  </si>
  <si>
    <t xml:space="preserve">22.06.06</t>
  </si>
  <si>
    <t xml:space="preserve">Melanjutkan data inventaris Gereja</t>
  </si>
  <si>
    <t xml:space="preserve">22.06.07</t>
  </si>
  <si>
    <t xml:space="preserve">Maintenance Gedung</t>
  </si>
  <si>
    <t xml:space="preserve">22.06.08</t>
  </si>
  <si>
    <t xml:space="preserve">Perawatan fasilitas</t>
  </si>
  <si>
    <t xml:space="preserve">22.06.09</t>
  </si>
  <si>
    <t xml:space="preserve">Perawatan kendaraan Gereja</t>
  </si>
  <si>
    <t xml:space="preserve">22.06.10</t>
  </si>
  <si>
    <t xml:space="preserve">Bioskop Hosiana</t>
  </si>
  <si>
    <t xml:space="preserve">22.06.11</t>
  </si>
  <si>
    <t xml:space="preserve">Aksi "telur Hosiana"</t>
  </si>
  <si>
    <t xml:space="preserve">TOTAL PENERIMAAN</t>
  </si>
  <si>
    <t xml:space="preserve">Keterangan:</t>
  </si>
  <si>
    <t xml:space="preserve">Sel kuning = kolom input realisasi mingguan (isi manual)</t>
  </si>
  <si>
    <t xml:space="preserve">Sel abu-abu = Sub Jumlah / Jumlah kelompok (otomatis, rumus SUM)</t>
  </si>
  <si>
    <t xml:space="preserve">BUKU PEMBANTU REALISASI MINGGUAN - PENGELUARAN</t>
  </si>
  <si>
    <t xml:space="preserve">361</t>
  </si>
  <si>
    <t xml:space="preserve">PENGELUARAN SIDANG, RAPAT</t>
  </si>
  <si>
    <t xml:space="preserve">361.01</t>
  </si>
  <si>
    <t xml:space="preserve">Biaya Rapat Pelkat, Komisi, Panitia/Tim Kerja</t>
  </si>
  <si>
    <t xml:space="preserve">361.01.01</t>
  </si>
  <si>
    <t xml:space="preserve">Kordinasi tiap bidang</t>
  </si>
  <si>
    <t xml:space="preserve">361.01.02</t>
  </si>
  <si>
    <t xml:space="preserve">BPPJ cash opname</t>
  </si>
  <si>
    <t xml:space="preserve">361.01.03</t>
  </si>
  <si>
    <t xml:space="preserve">Kordinasi tim kerja</t>
  </si>
  <si>
    <t xml:space="preserve">361.02</t>
  </si>
  <si>
    <t xml:space="preserve">SMJ, PHMJ, Rapat Lainnya</t>
  </si>
  <si>
    <t xml:space="preserve">361.02.01</t>
  </si>
  <si>
    <t xml:space="preserve">SMJ Triwulan</t>
  </si>
  <si>
    <t xml:space="preserve">361.02.02</t>
  </si>
  <si>
    <t xml:space="preserve">SMJ Khusus / Istimewa</t>
  </si>
  <si>
    <t xml:space="preserve">361.02.03</t>
  </si>
  <si>
    <t xml:space="preserve">Rapat PHMJ</t>
  </si>
  <si>
    <t xml:space="preserve">361.02.04</t>
  </si>
  <si>
    <t xml:space="preserve">Rapat lainnya</t>
  </si>
  <si>
    <t xml:space="preserve">361.03</t>
  </si>
  <si>
    <t xml:space="preserve">Biaya Sidang Pleno MJ/Mupel/Sinode</t>
  </si>
  <si>
    <t xml:space="preserve">361.03.01</t>
  </si>
  <si>
    <t xml:space="preserve">Rapat Pleno MJ</t>
  </si>
  <si>
    <t xml:space="preserve">361.03.02</t>
  </si>
  <si>
    <t xml:space="preserve">Sidang MUPEL</t>
  </si>
  <si>
    <t xml:space="preserve">361.03.03</t>
  </si>
  <si>
    <t xml:space="preserve">Persidangan Sinode Tahunan</t>
  </si>
  <si>
    <t xml:space="preserve">361.03.04</t>
  </si>
  <si>
    <t xml:space="preserve">Persidangan Sinode Raya</t>
  </si>
  <si>
    <t xml:space="preserve">361.03.05</t>
  </si>
  <si>
    <t xml:space="preserve">Konven Presbiter</t>
  </si>
  <si>
    <t xml:space="preserve">361.04</t>
  </si>
  <si>
    <t xml:space="preserve">Biaya Persiapan Presbiter</t>
  </si>
  <si>
    <t xml:space="preserve">362</t>
  </si>
  <si>
    <t xml:space="preserve">PENGELUARAN PEGAWAI</t>
  </si>
  <si>
    <t xml:space="preserve">362.01</t>
  </si>
  <si>
    <t xml:space="preserve">Gaji</t>
  </si>
  <si>
    <t xml:space="preserve">362.01.01</t>
  </si>
  <si>
    <t xml:space="preserve">1. KMJ</t>
  </si>
  <si>
    <t xml:space="preserve">362.01.01.01</t>
  </si>
  <si>
    <t xml:space="preserve">362.01.01.02</t>
  </si>
  <si>
    <t xml:space="preserve">Tunjangan Lokal</t>
  </si>
  <si>
    <t xml:space="preserve">362.01.01.03</t>
  </si>
  <si>
    <t xml:space="preserve">BPJSTK</t>
  </si>
  <si>
    <t xml:space="preserve">362.01.02</t>
  </si>
  <si>
    <t xml:space="preserve">2. Sekretariat Admin</t>
  </si>
  <si>
    <t xml:space="preserve">362.01.02.01</t>
  </si>
  <si>
    <t xml:space="preserve">362.01.02.02</t>
  </si>
  <si>
    <t xml:space="preserve">Tunjangan Lokal + transport multimedia</t>
  </si>
  <si>
    <t xml:space="preserve">362.01.02.03</t>
  </si>
  <si>
    <t xml:space="preserve">BPJSK</t>
  </si>
  <si>
    <t xml:space="preserve">362.01.03</t>
  </si>
  <si>
    <t xml:space="preserve">3. Sekretariat Kasir</t>
  </si>
  <si>
    <t xml:space="preserve">362.01.03.01</t>
  </si>
  <si>
    <t xml:space="preserve">362.01.03.02</t>
  </si>
  <si>
    <t xml:space="preserve">Tunjangan Kasir</t>
  </si>
  <si>
    <t xml:space="preserve">362.01.03.03</t>
  </si>
  <si>
    <t xml:space="preserve">362.01.03.04</t>
  </si>
  <si>
    <t xml:space="preserve">362.01.03.05</t>
  </si>
  <si>
    <t xml:space="preserve">362.01.04</t>
  </si>
  <si>
    <t xml:space="preserve">4. Kostor</t>
  </si>
  <si>
    <t xml:space="preserve">362.01.04.01</t>
  </si>
  <si>
    <t xml:space="preserve">362.01.04.02</t>
  </si>
  <si>
    <t xml:space="preserve">362.01.05</t>
  </si>
  <si>
    <t xml:space="preserve">5. Security</t>
  </si>
  <si>
    <t xml:space="preserve">362.01.05.01</t>
  </si>
  <si>
    <t xml:space="preserve">362.01.05.02</t>
  </si>
  <si>
    <t xml:space="preserve">362.02</t>
  </si>
  <si>
    <t xml:space="preserve">Uang Transport &amp; Uang Makan</t>
  </si>
  <si>
    <t xml:space="preserve">362.02.01</t>
  </si>
  <si>
    <t xml:space="preserve">1. Uang Transport</t>
  </si>
  <si>
    <t xml:space="preserve">362.02.01.01</t>
  </si>
  <si>
    <t xml:space="preserve">KMJ</t>
  </si>
  <si>
    <t xml:space="preserve">362.02.01.02</t>
  </si>
  <si>
    <t xml:space="preserve">Sekretariat Admin</t>
  </si>
  <si>
    <t xml:space="preserve">362.02.01.03</t>
  </si>
  <si>
    <t xml:space="preserve">Sekretariat Kasir</t>
  </si>
  <si>
    <t xml:space="preserve">362.02.01.04</t>
  </si>
  <si>
    <t xml:space="preserve">Security</t>
  </si>
  <si>
    <t xml:space="preserve">362.02.01.05</t>
  </si>
  <si>
    <t xml:space="preserve">Kostor</t>
  </si>
  <si>
    <t xml:space="preserve">362.02.02</t>
  </si>
  <si>
    <t xml:space="preserve">2. Uang Makan</t>
  </si>
  <si>
    <t xml:space="preserve">362.02.02.01</t>
  </si>
  <si>
    <t xml:space="preserve">362.02.02.02</t>
  </si>
  <si>
    <t xml:space="preserve">362.02.02.03</t>
  </si>
  <si>
    <t xml:space="preserve">362.02.02.04</t>
  </si>
  <si>
    <t xml:space="preserve">362.02.02.05</t>
  </si>
  <si>
    <t xml:space="preserve">362.03</t>
  </si>
  <si>
    <t xml:space="preserve">Bantuan Pengobatan</t>
  </si>
  <si>
    <t xml:space="preserve">362.03.01</t>
  </si>
  <si>
    <t xml:space="preserve">362.03.02</t>
  </si>
  <si>
    <t xml:space="preserve">362.03.03</t>
  </si>
  <si>
    <t xml:space="preserve">362.04</t>
  </si>
  <si>
    <t xml:space="preserve">lembur</t>
  </si>
  <si>
    <t xml:space="preserve">362.04.01</t>
  </si>
  <si>
    <t xml:space="preserve">362.04.02</t>
  </si>
  <si>
    <t xml:space="preserve">362.04.03</t>
  </si>
  <si>
    <t xml:space="preserve">362.04.04</t>
  </si>
  <si>
    <t xml:space="preserve">Lembur khusus Security</t>
  </si>
  <si>
    <t xml:space="preserve">362.04.05</t>
  </si>
  <si>
    <t xml:space="preserve">362.04.06</t>
  </si>
  <si>
    <t xml:space="preserve">362.04.07</t>
  </si>
  <si>
    <t xml:space="preserve">Tambahan lembur kedukaan</t>
  </si>
  <si>
    <t xml:space="preserve">362.05</t>
  </si>
  <si>
    <t xml:space="preserve">Tunjangan Natal/THR</t>
  </si>
  <si>
    <t xml:space="preserve">362.05.01</t>
  </si>
  <si>
    <t xml:space="preserve">362.05.02</t>
  </si>
  <si>
    <t xml:space="preserve">362.05.03</t>
  </si>
  <si>
    <t xml:space="preserve">362.05.04</t>
  </si>
  <si>
    <t xml:space="preserve">362.05.05</t>
  </si>
  <si>
    <t xml:space="preserve">362.06</t>
  </si>
  <si>
    <t xml:space="preserve">Tunjangan Cuti</t>
  </si>
  <si>
    <t xml:space="preserve">362.06.01</t>
  </si>
  <si>
    <t xml:space="preserve">362.09</t>
  </si>
  <si>
    <t xml:space="preserve">Pajak Penghasilan</t>
  </si>
  <si>
    <t xml:space="preserve">362.09.01</t>
  </si>
  <si>
    <t xml:space="preserve">PPH 21 KMJ</t>
  </si>
  <si>
    <t xml:space="preserve">362.1</t>
  </si>
  <si>
    <t xml:space="preserve">Pensiun &amp; JPHT, APRESIASI</t>
  </si>
  <si>
    <t xml:space="preserve">362.10.01</t>
  </si>
  <si>
    <t xml:space="preserve">Iuran pensiun KMJ</t>
  </si>
  <si>
    <t xml:space="preserve">362.10.02</t>
  </si>
  <si>
    <t xml:space="preserve">JPHT KMJ</t>
  </si>
  <si>
    <t xml:space="preserve">362.10.03</t>
  </si>
  <si>
    <t xml:space="preserve">Apresiasi KMJ</t>
  </si>
  <si>
    <t xml:space="preserve">363</t>
  </si>
  <si>
    <t xml:space="preserve">PENGELUARAN KANTOR</t>
  </si>
  <si>
    <t xml:space="preserve">363.01</t>
  </si>
  <si>
    <t xml:space="preserve">Alat Tulis Kantor &amp; fotocopy</t>
  </si>
  <si>
    <t xml:space="preserve">363.01.01</t>
  </si>
  <si>
    <t xml:space="preserve">ATK</t>
  </si>
  <si>
    <t xml:space="preserve">363.01.02</t>
  </si>
  <si>
    <t xml:space="preserve">Fotocopy</t>
  </si>
  <si>
    <t xml:space="preserve">363.02</t>
  </si>
  <si>
    <t xml:space="preserve">Biaya Bank ( Transfer,Adm, Stmt, MCC, &amp; Pajak )</t>
  </si>
  <si>
    <t xml:space="preserve">363.03</t>
  </si>
  <si>
    <t xml:space="preserve">Iuran Lingkungan (RT RW Sampah)</t>
  </si>
  <si>
    <t xml:space="preserve">363.04</t>
  </si>
  <si>
    <t xml:space="preserve">Biaya Urusan Rumah Tangga</t>
  </si>
  <si>
    <t xml:space="preserve">363.05</t>
  </si>
  <si>
    <t xml:space="preserve">Tunjangan PHMJ</t>
  </si>
  <si>
    <t xml:space="preserve">363.06</t>
  </si>
  <si>
    <t xml:space="preserve">Tunjangan BPPJ</t>
  </si>
  <si>
    <t xml:space="preserve">363.07</t>
  </si>
  <si>
    <t xml:space="preserve">Biaya Kantor - Tata Usaha lainnya</t>
  </si>
  <si>
    <t xml:space="preserve">363.07.01</t>
  </si>
  <si>
    <t xml:space="preserve">Pengadaan Surat Grj (Baptis, Sidi, Nikah)</t>
  </si>
  <si>
    <t xml:space="preserve">363.07.02</t>
  </si>
  <si>
    <t xml:space="preserve">Lain-lain</t>
  </si>
  <si>
    <t xml:space="preserve">364</t>
  </si>
  <si>
    <t xml:space="preserve">PENGELUARAN GEREJA &amp;PASTORI</t>
  </si>
  <si>
    <t xml:space="preserve">364.01</t>
  </si>
  <si>
    <t xml:space="preserve">Telepon Gereja/ Internet Biznet Gereja</t>
  </si>
  <si>
    <t xml:space="preserve">364.02</t>
  </si>
  <si>
    <t xml:space="preserve">Internet Pastori</t>
  </si>
  <si>
    <t xml:space="preserve">364.03</t>
  </si>
  <si>
    <t xml:space="preserve">Zoom</t>
  </si>
  <si>
    <t xml:space="preserve">364.04</t>
  </si>
  <si>
    <t xml:space="preserve">Listrik</t>
  </si>
  <si>
    <t xml:space="preserve">364.05</t>
  </si>
  <si>
    <t xml:space="preserve">PAM</t>
  </si>
  <si>
    <t xml:space="preserve">364.06</t>
  </si>
  <si>
    <t xml:space="preserve">Biaya lain</t>
  </si>
  <si>
    <t xml:space="preserve">364.07</t>
  </si>
  <si>
    <t xml:space="preserve">Perlengkapan lainnya</t>
  </si>
  <si>
    <t xml:space="preserve">365</t>
  </si>
  <si>
    <t xml:space="preserve">PENGELUARAN KENDARAAN</t>
  </si>
  <si>
    <t xml:space="preserve">365.01</t>
  </si>
  <si>
    <t xml:space="preserve">Bahan Bakar Minyak (BBM)</t>
  </si>
  <si>
    <t xml:space="preserve">365.01.01</t>
  </si>
  <si>
    <t xml:space="preserve">Mobil</t>
  </si>
  <si>
    <t xml:space="preserve">365.01.02</t>
  </si>
  <si>
    <t xml:space="preserve">Motor</t>
  </si>
  <si>
    <t xml:space="preserve">365.02</t>
  </si>
  <si>
    <t xml:space="preserve">Service</t>
  </si>
  <si>
    <t xml:space="preserve">365.02.01</t>
  </si>
  <si>
    <t xml:space="preserve">365.02.02</t>
  </si>
  <si>
    <t xml:space="preserve">365.03</t>
  </si>
  <si>
    <t xml:space="preserve">Asuransi &amp; Pajak Kendaraan, STNK</t>
  </si>
  <si>
    <t xml:space="preserve">365.03.01</t>
  </si>
  <si>
    <t xml:space="preserve">365.03.02</t>
  </si>
  <si>
    <t xml:space="preserve">365.04</t>
  </si>
  <si>
    <t xml:space="preserve">E tol, parkir, cuci kendaraan</t>
  </si>
  <si>
    <t xml:space="preserve">365.04.01</t>
  </si>
  <si>
    <t xml:space="preserve">365.04.02</t>
  </si>
  <si>
    <t xml:space="preserve">365.05</t>
  </si>
  <si>
    <t xml:space="preserve">Biaya lainnya</t>
  </si>
  <si>
    <t xml:space="preserve">311</t>
  </si>
  <si>
    <t xml:space="preserve">PENGELUARAN TEOLOGI &amp; IBADAH</t>
  </si>
  <si>
    <t xml:space="preserve">311.01</t>
  </si>
  <si>
    <t xml:space="preserve">Pembelian SBU, SGDK, SBA, SBT,</t>
  </si>
  <si>
    <t xml:space="preserve">311.01.01</t>
  </si>
  <si>
    <t xml:space="preserve">SBU</t>
  </si>
  <si>
    <t xml:space="preserve">311.01.02</t>
  </si>
  <si>
    <t xml:space="preserve">SGDK</t>
  </si>
  <si>
    <t xml:space="preserve">311.01.03</t>
  </si>
  <si>
    <t xml:space="preserve">SBA</t>
  </si>
  <si>
    <t xml:space="preserve">311.01.04</t>
  </si>
  <si>
    <t xml:space="preserve">SBT</t>
  </si>
  <si>
    <t xml:space="preserve">311.01.05</t>
  </si>
  <si>
    <t xml:space="preserve">SBP</t>
  </si>
  <si>
    <t xml:space="preserve">311.02</t>
  </si>
  <si>
    <t xml:space="preserve">Pelayanan Ibadah Minggu pagi &amp; sore di Gereja</t>
  </si>
  <si>
    <t xml:space="preserve">311.02.01</t>
  </si>
  <si>
    <t xml:space="preserve">Transport presbiter pagi</t>
  </si>
  <si>
    <t xml:space="preserve">311.02.02</t>
  </si>
  <si>
    <t xml:space="preserve">Transport presbiter sore</t>
  </si>
  <si>
    <t xml:space="preserve">311.02.03</t>
  </si>
  <si>
    <t xml:space="preserve">Transport Pemandu Lagu, Pianis, Multi media pagi</t>
  </si>
  <si>
    <t xml:space="preserve">311.02.04</t>
  </si>
  <si>
    <t xml:space="preserve">Transport Pemandu Lagu, Pianis, Multi media sore</t>
  </si>
  <si>
    <t xml:space="preserve">311.02.05</t>
  </si>
  <si>
    <t xml:space="preserve">4. Viatikum Pelayan Firman</t>
  </si>
  <si>
    <t xml:space="preserve">311.02.05.01</t>
  </si>
  <si>
    <t xml:space="preserve">PF Majelis Hosiana pagi</t>
  </si>
  <si>
    <t xml:space="preserve">311.02.05.02</t>
  </si>
  <si>
    <t xml:space="preserve">PF Majelis Hosiana sore</t>
  </si>
  <si>
    <t xml:space="preserve">311.02.05.03</t>
  </si>
  <si>
    <t xml:space="preserve">Pendeta MUPEL Jakarta Pusat</t>
  </si>
  <si>
    <t xml:space="preserve">311.02.05.04</t>
  </si>
  <si>
    <t xml:space="preserve">Fungsionaris Majelis Sinode</t>
  </si>
  <si>
    <t xml:space="preserve">311.02.05.05</t>
  </si>
  <si>
    <t xml:space="preserve">Pendeta JABANSIBAR</t>
  </si>
  <si>
    <t xml:space="preserve">311.02.05.06</t>
  </si>
  <si>
    <t xml:space="preserve">Pendeta luar wilayah MUPEL JABANSIBAR (OIKUMENE)</t>
  </si>
  <si>
    <t xml:space="preserve">311.02.06</t>
  </si>
  <si>
    <t xml:space="preserve">Roti untuk di meja Altar</t>
  </si>
  <si>
    <t xml:space="preserve">311.02.07</t>
  </si>
  <si>
    <t xml:space="preserve">Konsumsi pelayan IHM pagi</t>
  </si>
  <si>
    <t xml:space="preserve">311.02.08</t>
  </si>
  <si>
    <t xml:space="preserve">Konsumsi pelayan IHM sore</t>
  </si>
  <si>
    <t xml:space="preserve">311.02.09</t>
  </si>
  <si>
    <t xml:space="preserve">Konsumsi pertukaran pelayan firman</t>
  </si>
  <si>
    <t xml:space="preserve">311.03</t>
  </si>
  <si>
    <t xml:space="preserve">Pelayanan Ibadah Keluarga termasuk Rabu Doa</t>
  </si>
  <si>
    <t xml:space="preserve">311.03.01</t>
  </si>
  <si>
    <t xml:space="preserve">Transport presbiter</t>
  </si>
  <si>
    <t xml:space="preserve">311.03.02</t>
  </si>
  <si>
    <t xml:space="preserve">Transport pemusik</t>
  </si>
  <si>
    <t xml:space="preserve">311.03.03</t>
  </si>
  <si>
    <t xml:space="preserve">Viatikum Pelayan Firman</t>
  </si>
  <si>
    <t xml:space="preserve">311.04</t>
  </si>
  <si>
    <t xml:space="preserve">Pelayanan Ibadah Penghiburan/ kedukaan/Pengelepasan</t>
  </si>
  <si>
    <t xml:space="preserve">311.04.01</t>
  </si>
  <si>
    <t xml:space="preserve">Ibadah peghiburan</t>
  </si>
  <si>
    <t xml:space="preserve">311.04.02</t>
  </si>
  <si>
    <t xml:space="preserve">Ibadah pengelepasan/pemakaman</t>
  </si>
  <si>
    <t xml:space="preserve">311.04.03</t>
  </si>
  <si>
    <t xml:space="preserve">Konsumsi pelayan</t>
  </si>
  <si>
    <t xml:space="preserve">311.05</t>
  </si>
  <si>
    <t xml:space="preserve">Pelayanan Ibadah Pelkat</t>
  </si>
  <si>
    <t xml:space="preserve">311.05.01</t>
  </si>
  <si>
    <t xml:space="preserve">1. PA</t>
  </si>
  <si>
    <t xml:space="preserve">311.05.01.01</t>
  </si>
  <si>
    <t xml:space="preserve">Transport kakak layan</t>
  </si>
  <si>
    <t xml:space="preserve">311.05.01.02</t>
  </si>
  <si>
    <t xml:space="preserve">Viatikum Pewarta Firman</t>
  </si>
  <si>
    <t xml:space="preserve">311.05.01.03</t>
  </si>
  <si>
    <t xml:space="preserve">Gitaris</t>
  </si>
  <si>
    <t xml:space="preserve">311.05.02</t>
  </si>
  <si>
    <t xml:space="preserve">2. PT</t>
  </si>
  <si>
    <t xml:space="preserve">311.05.02.01</t>
  </si>
  <si>
    <t xml:space="preserve">Transport kakak bina</t>
  </si>
  <si>
    <t xml:space="preserve">311.05.02.02</t>
  </si>
  <si>
    <t xml:space="preserve">311.05.02.03</t>
  </si>
  <si>
    <t xml:space="preserve">311.05.03</t>
  </si>
  <si>
    <t xml:space="preserve">3. GP</t>
  </si>
  <si>
    <t xml:space="preserve">311.05.03.01</t>
  </si>
  <si>
    <t xml:space="preserve">Pelayan Firman</t>
  </si>
  <si>
    <t xml:space="preserve">311.05.03.02</t>
  </si>
  <si>
    <t xml:space="preserve">Pelayan Liturgi</t>
  </si>
  <si>
    <t xml:space="preserve">311.05.03.03</t>
  </si>
  <si>
    <t xml:space="preserve">311.05.03.04</t>
  </si>
  <si>
    <t xml:space="preserve">Transport ibadah gabungan</t>
  </si>
  <si>
    <t xml:space="preserve">311.05.04</t>
  </si>
  <si>
    <t xml:space="preserve">4. PKP</t>
  </si>
  <si>
    <t xml:space="preserve">311.05.04.01</t>
  </si>
  <si>
    <t xml:space="preserve">311.05.04.02</t>
  </si>
  <si>
    <t xml:space="preserve">311.05.04.03</t>
  </si>
  <si>
    <t xml:space="preserve">Pemusik/multimedia</t>
  </si>
  <si>
    <t xml:space="preserve">311.05.04.04</t>
  </si>
  <si>
    <t xml:space="preserve">311.05.05</t>
  </si>
  <si>
    <t xml:space="preserve">5. PKB</t>
  </si>
  <si>
    <t xml:space="preserve">311.05.05.01</t>
  </si>
  <si>
    <t xml:space="preserve">311.05.05.02</t>
  </si>
  <si>
    <t xml:space="preserve">311.05.05.03</t>
  </si>
  <si>
    <t xml:space="preserve">311.05.05.04</t>
  </si>
  <si>
    <t xml:space="preserve">311.05.06</t>
  </si>
  <si>
    <t xml:space="preserve">6.PKLU</t>
  </si>
  <si>
    <t xml:space="preserve">311.05.06.01</t>
  </si>
  <si>
    <t xml:space="preserve">311.05.06.02</t>
  </si>
  <si>
    <t xml:space="preserve">311.05.06.03</t>
  </si>
  <si>
    <t xml:space="preserve">Pemusik</t>
  </si>
  <si>
    <t xml:space="preserve">311.05.06.04</t>
  </si>
  <si>
    <t xml:space="preserve">Konsumsi</t>
  </si>
  <si>
    <t xml:space="preserve">311.05.06.05</t>
  </si>
  <si>
    <t xml:space="preserve">311.06</t>
  </si>
  <si>
    <t xml:space="preserve">Konsumsi Pelayan</t>
  </si>
  <si>
    <t xml:space="preserve">311.06.01</t>
  </si>
  <si>
    <t xml:space="preserve">PS/VG Tamu</t>
  </si>
  <si>
    <t xml:space="preserve">311.07</t>
  </si>
  <si>
    <t xml:space="preserve">Ibadah Khusus</t>
  </si>
  <si>
    <t xml:space="preserve">311.07.01</t>
  </si>
  <si>
    <t xml:space="preserve">Perkawinan</t>
  </si>
  <si>
    <t xml:space="preserve">311.08</t>
  </si>
  <si>
    <t xml:space="preserve">Hari Raya Gerejawi, Jumat Agung, Perjamuan Kudus</t>
  </si>
  <si>
    <t xml:space="preserve">311.08.01</t>
  </si>
  <si>
    <t xml:space="preserve">1. Malam Natal</t>
  </si>
  <si>
    <t xml:space="preserve">311.08.01.01</t>
  </si>
  <si>
    <t xml:space="preserve">Transport pelayan</t>
  </si>
  <si>
    <t xml:space="preserve">311.08.01.02</t>
  </si>
  <si>
    <t xml:space="preserve">311.08.01.03</t>
  </si>
  <si>
    <t xml:space="preserve">Amplop petugas keamanan</t>
  </si>
  <si>
    <t xml:space="preserve">311.08.02</t>
  </si>
  <si>
    <t xml:space="preserve">2. Natal I</t>
  </si>
  <si>
    <t xml:space="preserve">311.08.02.01</t>
  </si>
  <si>
    <t xml:space="preserve">311.08.02.02</t>
  </si>
  <si>
    <t xml:space="preserve">311.08.02.03</t>
  </si>
  <si>
    <t xml:space="preserve">311.08.03</t>
  </si>
  <si>
    <t xml:space="preserve">3. Natal II</t>
  </si>
  <si>
    <t xml:space="preserve">311.08.03.01</t>
  </si>
  <si>
    <t xml:space="preserve">311.08.03.02</t>
  </si>
  <si>
    <t xml:space="preserve">311.08.03.03</t>
  </si>
  <si>
    <t xml:space="preserve">311.08.04</t>
  </si>
  <si>
    <t xml:space="preserve">4. Akhir Tahun</t>
  </si>
  <si>
    <t xml:space="preserve">311.08.04.01</t>
  </si>
  <si>
    <t xml:space="preserve">311.08.04.02</t>
  </si>
  <si>
    <t xml:space="preserve">311.08.04.03</t>
  </si>
  <si>
    <t xml:space="preserve">311.08.05</t>
  </si>
  <si>
    <t xml:space="preserve">5. Tahun Baru</t>
  </si>
  <si>
    <t xml:space="preserve">311.08.05.01</t>
  </si>
  <si>
    <t xml:space="preserve">311.08.05.02</t>
  </si>
  <si>
    <t xml:space="preserve">311.08.05.03</t>
  </si>
  <si>
    <t xml:space="preserve">311.08.06</t>
  </si>
  <si>
    <t xml:space="preserve">6. Jumat Agung</t>
  </si>
  <si>
    <t xml:space="preserve">311.08.06.01</t>
  </si>
  <si>
    <t xml:space="preserve">Viatikum PF</t>
  </si>
  <si>
    <t xml:space="preserve">311.08.06.02</t>
  </si>
  <si>
    <t xml:space="preserve">311.08.06.03</t>
  </si>
  <si>
    <t xml:space="preserve">Anggur &amp; Roti</t>
  </si>
  <si>
    <t xml:space="preserve">311.08.06.04</t>
  </si>
  <si>
    <t xml:space="preserve">311.08.06.05</t>
  </si>
  <si>
    <t xml:space="preserve">Pelayan Perjamuan Kudus Orang Sakit</t>
  </si>
  <si>
    <t xml:space="preserve">311.08.07</t>
  </si>
  <si>
    <t xml:space="preserve">7. Perjamuan Kudus</t>
  </si>
  <si>
    <t xml:space="preserve">311.08.07.01</t>
  </si>
  <si>
    <t xml:space="preserve">311.08.07.02</t>
  </si>
  <si>
    <t xml:space="preserve">311.08.08</t>
  </si>
  <si>
    <t xml:space="preserve">8. HUT RI</t>
  </si>
  <si>
    <t xml:space="preserve">311.08.08.01</t>
  </si>
  <si>
    <t xml:space="preserve">311.08.08.02</t>
  </si>
  <si>
    <t xml:space="preserve">30.00</t>
  </si>
  <si>
    <t xml:space="preserve">PENGELUARAN KANTONG KHUSUS</t>
  </si>
  <si>
    <t xml:space="preserve">33.00.01</t>
  </si>
  <si>
    <t xml:space="preserve">Ibadah Bulan PELKES</t>
  </si>
  <si>
    <t xml:space="preserve">33.00.02</t>
  </si>
  <si>
    <t xml:space="preserve">Ibadah Hari Doa se-GPIB</t>
  </si>
  <si>
    <t xml:space="preserve">33.00.03</t>
  </si>
  <si>
    <t xml:space="preserve">Ibadah HUT Oikumene</t>
  </si>
  <si>
    <t xml:space="preserve">33.00.04</t>
  </si>
  <si>
    <t xml:space="preserve">Ibadah HUT Yapendik</t>
  </si>
  <si>
    <t xml:space="preserve">33.00.05</t>
  </si>
  <si>
    <t xml:space="preserve">Hari Doa se-Dunia Anak (HDSA)</t>
  </si>
  <si>
    <t xml:space="preserve">33.00.06</t>
  </si>
  <si>
    <t xml:space="preserve">366</t>
  </si>
  <si>
    <t xml:space="preserve">PENGELUARAN UNTUK PIHAK LAIN</t>
  </si>
  <si>
    <t xml:space="preserve">366.01</t>
  </si>
  <si>
    <t xml:space="preserve">Bantuan / sumbangan pembangunan untuk jemaat GPIB atau yang lainnya</t>
  </si>
  <si>
    <t xml:space="preserve">41</t>
  </si>
  <si>
    <t xml:space="preserve">PROGRAM SINODAL</t>
  </si>
  <si>
    <t xml:space="preserve">41.01</t>
  </si>
  <si>
    <t xml:space="preserve">Persepuluhan ke Majelis Sinode</t>
  </si>
  <si>
    <t xml:space="preserve">41.02</t>
  </si>
  <si>
    <t xml:space="preserve">Kontribusi PST GPIB Tahunan</t>
  </si>
  <si>
    <t xml:space="preserve">41.03</t>
  </si>
  <si>
    <t xml:space="preserve">Kontribusi PSR GPIB Lima Tahunan</t>
  </si>
  <si>
    <t xml:space="preserve">41.04</t>
  </si>
  <si>
    <t xml:space="preserve">Evaluasi Vikaris</t>
  </si>
  <si>
    <t xml:space="preserve">42</t>
  </si>
  <si>
    <t xml:space="preserve">MUPEL, PGI DLL</t>
  </si>
  <si>
    <t xml:space="preserve">42.01</t>
  </si>
  <si>
    <t xml:space="preserve">Iuran wajib</t>
  </si>
  <si>
    <t xml:space="preserve">Sidang Tahunan</t>
  </si>
  <si>
    <t xml:space="preserve">42.02</t>
  </si>
  <si>
    <t xml:space="preserve">Iuran PGIW</t>
  </si>
  <si>
    <t xml:space="preserve">42.03</t>
  </si>
  <si>
    <t xml:space="preserve">AKBID / STIKES GPIB</t>
  </si>
  <si>
    <t xml:space="preserve">42.04</t>
  </si>
  <si>
    <t xml:space="preserve">Lain - lain</t>
  </si>
  <si>
    <t xml:space="preserve">42.05</t>
  </si>
  <si>
    <t xml:space="preserve">Sertijab &amp; Ibadah Utus Sambut Pdt Marinus Rudolf Thomas Mainaky</t>
  </si>
  <si>
    <t xml:space="preserve">50.00</t>
  </si>
  <si>
    <t xml:space="preserve">50.00.01</t>
  </si>
  <si>
    <t xml:space="preserve">50.00.02</t>
  </si>
  <si>
    <t xml:space="preserve">50.00.03</t>
  </si>
  <si>
    <t xml:space="preserve">50.00.04</t>
  </si>
  <si>
    <t xml:space="preserve">50.00.05</t>
  </si>
  <si>
    <t xml:space="preserve">50.00.06</t>
  </si>
  <si>
    <t xml:space="preserve">50.00.07</t>
  </si>
  <si>
    <t xml:space="preserve">Persekutuan doa karyawan</t>
  </si>
  <si>
    <t xml:space="preserve">50.00.08</t>
  </si>
  <si>
    <t xml:space="preserve">Musyawarah Tahunan Mupel Jkt Pusat Tahun 2026</t>
  </si>
  <si>
    <t xml:space="preserve">50.00.09</t>
  </si>
  <si>
    <t xml:space="preserve">Ibadah HUT GPIB Hosiana 49 thn (23 Juli 1978)</t>
  </si>
  <si>
    <t xml:space="preserve">50.00.10</t>
  </si>
  <si>
    <t xml:space="preserve">50.00.11</t>
  </si>
  <si>
    <t xml:space="preserve">IHMPA di bukan khusus HUT pelkat GP, PKB, PKP, PKLU GPIB</t>
  </si>
  <si>
    <t xml:space="preserve">50.00.12</t>
  </si>
  <si>
    <t xml:space="preserve">Ibadah Pendeta dan keluarga Pendeta</t>
  </si>
  <si>
    <t xml:space="preserve">50.00.13</t>
  </si>
  <si>
    <t xml:space="preserve">Ibadah Syukur Jemaat</t>
  </si>
  <si>
    <t xml:space="preserve">50.00.14</t>
  </si>
  <si>
    <t xml:space="preserve">50.00.15</t>
  </si>
  <si>
    <t xml:space="preserve">50.00.16</t>
  </si>
  <si>
    <t xml:space="preserve">Penahbisan Pelayan Firman dan Sakramen GPIB</t>
  </si>
  <si>
    <t xml:space="preserve">50.00.17</t>
  </si>
  <si>
    <t xml:space="preserve">Pengadaan Buku Nyanyian Jemaat</t>
  </si>
  <si>
    <t xml:space="preserve">50.00.18</t>
  </si>
  <si>
    <t xml:space="preserve">Ibadah Pengutusan Pdt. Tertahbis</t>
  </si>
  <si>
    <t xml:space="preserve">50.00.19</t>
  </si>
  <si>
    <t xml:space="preserve">Ibadah peringatan hari ibu ke 98</t>
  </si>
  <si>
    <t xml:space="preserve">50.00.20</t>
  </si>
  <si>
    <t xml:space="preserve">50.00.21</t>
  </si>
  <si>
    <t xml:space="preserve">Latihan Pemandu Lagu Ibadah Minggu</t>
  </si>
  <si>
    <t xml:space="preserve">50.00.22</t>
  </si>
  <si>
    <t xml:space="preserve">Latihan Pemandu Lagu Ibadah Hari Raya</t>
  </si>
  <si>
    <t xml:space="preserve">50.00.23</t>
  </si>
  <si>
    <t xml:space="preserve">50.00.24</t>
  </si>
  <si>
    <t xml:space="preserve">Pelatihan pianis</t>
  </si>
  <si>
    <t xml:space="preserve">50.00.25</t>
  </si>
  <si>
    <t xml:space="preserve">50.00.26</t>
  </si>
  <si>
    <t xml:space="preserve">Perayaan Paskah Anak 2026</t>
  </si>
  <si>
    <t xml:space="preserve">50.00.27</t>
  </si>
  <si>
    <t xml:space="preserve">50.00.28</t>
  </si>
  <si>
    <t xml:space="preserve">Ibadah Kenaikan kelas ( PA - PT )</t>
  </si>
  <si>
    <t xml:space="preserve">50.00.29</t>
  </si>
  <si>
    <t xml:space="preserve">Ibadah Natal pelkat PA</t>
  </si>
  <si>
    <t xml:space="preserve">50.00.30</t>
  </si>
  <si>
    <t xml:space="preserve">Ibadah gabungan pelkat PA Mupel Jakarta Pusat</t>
  </si>
  <si>
    <t xml:space="preserve">50.00.31</t>
  </si>
  <si>
    <t xml:space="preserve">Ibadah Kenaikan Kelas Adik Layan ( TK, AK, AT ) dan kenaikan kelas PA ke PT</t>
  </si>
  <si>
    <t xml:space="preserve">50.00.32</t>
  </si>
  <si>
    <t xml:space="preserve">50.00.33</t>
  </si>
  <si>
    <t xml:space="preserve">50.00.34</t>
  </si>
  <si>
    <t xml:space="preserve">50.00.35</t>
  </si>
  <si>
    <t xml:space="preserve">50.00.36</t>
  </si>
  <si>
    <t xml:space="preserve">50.00.37</t>
  </si>
  <si>
    <t xml:space="preserve">50.00.38</t>
  </si>
  <si>
    <t xml:space="preserve">50.00.39</t>
  </si>
  <si>
    <t xml:space="preserve">50.00.40</t>
  </si>
  <si>
    <t xml:space="preserve">50.00.41</t>
  </si>
  <si>
    <t xml:space="preserve">50.00.42</t>
  </si>
  <si>
    <t xml:space="preserve">50.00.43</t>
  </si>
  <si>
    <t xml:space="preserve">50.00.44</t>
  </si>
  <si>
    <t xml:space="preserve">Ibadah Rutin</t>
  </si>
  <si>
    <t xml:space="preserve">50.00.45</t>
  </si>
  <si>
    <t xml:space="preserve">50.00.46</t>
  </si>
  <si>
    <t xml:space="preserve">50.00.47</t>
  </si>
  <si>
    <t xml:space="preserve">Ibadah Gabungan Rutin Pelkat PKB Mupel Jakarta Pusat</t>
  </si>
  <si>
    <t xml:space="preserve">50.00.48</t>
  </si>
  <si>
    <t xml:space="preserve">50.00.49</t>
  </si>
  <si>
    <t xml:space="preserve">50.00.50</t>
  </si>
  <si>
    <t xml:space="preserve">51.00</t>
  </si>
  <si>
    <t xml:space="preserve">PELKES</t>
  </si>
  <si>
    <t xml:space="preserve">51.00.01</t>
  </si>
  <si>
    <t xml:space="preserve">51.00.02</t>
  </si>
  <si>
    <t xml:space="preserve">51.00.03</t>
  </si>
  <si>
    <t xml:space="preserve">51.00.04</t>
  </si>
  <si>
    <t xml:space="preserve">Diakonia Orang Sakit</t>
  </si>
  <si>
    <t xml:space="preserve">51.00.05</t>
  </si>
  <si>
    <t xml:space="preserve">51.00.06</t>
  </si>
  <si>
    <t xml:space="preserve">diakonia kedukaan</t>
  </si>
  <si>
    <t xml:space="preserve">51.00.07</t>
  </si>
  <si>
    <t xml:space="preserve">51.00.08</t>
  </si>
  <si>
    <t xml:space="preserve">52.00</t>
  </si>
  <si>
    <t xml:space="preserve">52.00.01</t>
  </si>
  <si>
    <t xml:space="preserve">52.00.02</t>
  </si>
  <si>
    <t xml:space="preserve">52.00.03</t>
  </si>
  <si>
    <t xml:space="preserve">52.00.04</t>
  </si>
  <si>
    <t xml:space="preserve">52.00.05</t>
  </si>
  <si>
    <t xml:space="preserve">52.00.06</t>
  </si>
  <si>
    <t xml:space="preserve">52.00.07</t>
  </si>
  <si>
    <t xml:space="preserve">53.00</t>
  </si>
  <si>
    <t xml:space="preserve">53.00.01</t>
  </si>
  <si>
    <t xml:space="preserve">53.00.02</t>
  </si>
  <si>
    <t xml:space="preserve">53.00.03</t>
  </si>
  <si>
    <t xml:space="preserve">53.00.04</t>
  </si>
  <si>
    <t xml:space="preserve">53.00.05</t>
  </si>
  <si>
    <t xml:space="preserve">53.00.06</t>
  </si>
  <si>
    <t xml:space="preserve">53.00.07</t>
  </si>
  <si>
    <t xml:space="preserve">53.00.08</t>
  </si>
  <si>
    <t xml:space="preserve">53.00.09</t>
  </si>
  <si>
    <t xml:space="preserve">53.00.10</t>
  </si>
  <si>
    <t xml:space="preserve">Pertandingan Remi</t>
  </si>
  <si>
    <t xml:space="preserve">53.00.11</t>
  </si>
  <si>
    <t xml:space="preserve">53.00.12</t>
  </si>
  <si>
    <t xml:space="preserve">53.00.13</t>
  </si>
  <si>
    <t xml:space="preserve">53.00.14</t>
  </si>
  <si>
    <t xml:space="preserve">53.00.15</t>
  </si>
  <si>
    <t xml:space="preserve">53.00.16</t>
  </si>
  <si>
    <t xml:space="preserve">54.00</t>
  </si>
  <si>
    <t xml:space="preserve">54.00.01</t>
  </si>
  <si>
    <t xml:space="preserve">54.00.02</t>
  </si>
  <si>
    <t xml:space="preserve">54.00.03</t>
  </si>
  <si>
    <t xml:space="preserve">55.00</t>
  </si>
  <si>
    <t xml:space="preserve">55.00.01</t>
  </si>
  <si>
    <t xml:space="preserve">55.00.02</t>
  </si>
  <si>
    <t xml:space="preserve">55.00.03</t>
  </si>
  <si>
    <t xml:space="preserve">55.00.04</t>
  </si>
  <si>
    <t xml:space="preserve">55.00.05</t>
  </si>
  <si>
    <t xml:space="preserve">55.00.06</t>
  </si>
  <si>
    <t xml:space="preserve">55.00.07</t>
  </si>
  <si>
    <t xml:space="preserve">55.00.08</t>
  </si>
  <si>
    <t xml:space="preserve">55.00.09</t>
  </si>
  <si>
    <t xml:space="preserve">55.00.10</t>
  </si>
  <si>
    <t xml:space="preserve">55.00.11</t>
  </si>
  <si>
    <t xml:space="preserve">TOTAL PENGELUARAN</t>
  </si>
  <si>
    <t xml:space="preserve">POSISI SALDO KAS &amp; BANK</t>
  </si>
  <si>
    <t xml:space="preserve">A. POSISI SALDO AWAL</t>
  </si>
  <si>
    <t xml:space="preserve">B. POSISI SALDO AKHIR</t>
  </si>
  <si>
    <t xml:space="preserve">1</t>
  </si>
  <si>
    <t xml:space="preserve">KAS &amp; BANK</t>
  </si>
  <si>
    <t xml:space="preserve">11</t>
  </si>
  <si>
    <t xml:space="preserve">Kas &amp; Bank</t>
  </si>
  <si>
    <t xml:space="preserve">111</t>
  </si>
  <si>
    <t xml:space="preserve">Kas</t>
  </si>
  <si>
    <t xml:space="preserve">111.01</t>
  </si>
  <si>
    <t xml:space="preserve">Kas Besar</t>
  </si>
  <si>
    <t xml:space="preserve">111.02</t>
  </si>
  <si>
    <t xml:space="preserve">Kas Kecil</t>
  </si>
  <si>
    <t xml:space="preserve">112</t>
  </si>
  <si>
    <t xml:space="preserve">Bank (Anggaran Rutin)</t>
  </si>
  <si>
    <t xml:space="preserve">112.01</t>
  </si>
  <si>
    <t xml:space="preserve">Bank xxx - Rekening Giro</t>
  </si>
  <si>
    <t xml:space="preserve">112.02</t>
  </si>
  <si>
    <t xml:space="preserve">Bank BRI - Rekening Tabungan Operasional</t>
  </si>
  <si>
    <t xml:space="preserve">112.03</t>
  </si>
  <si>
    <t xml:space="preserve">Bank BRI - Rekening Tabungan PEG (Pengembangan Ekonomi Gereja)</t>
  </si>
  <si>
    <t xml:space="preserve">112.04</t>
  </si>
  <si>
    <t xml:space="preserve">Bank DKI - Rekening Tabungan BOTI (Bantuan Operasional Tempat Ibadah)</t>
  </si>
  <si>
    <t xml:space="preserve">113</t>
  </si>
  <si>
    <t xml:space="preserve">Bank (Anggaran Non Rutin)</t>
  </si>
  <si>
    <t xml:space="preserve">113.01</t>
  </si>
  <si>
    <t xml:space="preserve">113.02</t>
  </si>
  <si>
    <t xml:space="preserve">Bank xxx - Rekening Tabungan</t>
  </si>
  <si>
    <t xml:space="preserve">114</t>
  </si>
  <si>
    <t xml:space="preserve">Bank (Anggaran Proyek)</t>
  </si>
  <si>
    <t xml:space="preserve">114.01</t>
  </si>
  <si>
    <t xml:space="preserve">114.02</t>
  </si>
  <si>
    <t xml:space="preserve">115</t>
  </si>
  <si>
    <t xml:space="preserve">Investasi</t>
  </si>
  <si>
    <t xml:space="preserve">115.01</t>
  </si>
  <si>
    <t xml:space="preserve">Deposito Bank BRI</t>
  </si>
  <si>
    <t xml:space="preserve">115.02</t>
  </si>
  <si>
    <t xml:space="preserve">Deposito Bank 02</t>
  </si>
  <si>
    <t xml:space="preserve">115.03</t>
  </si>
  <si>
    <t xml:space="preserve">Obligasi</t>
  </si>
  <si>
    <t xml:space="preserve">12</t>
  </si>
  <si>
    <t xml:space="preserve">Panjar/Uang Muka</t>
  </si>
  <si>
    <t xml:space="preserve">13</t>
  </si>
  <si>
    <t xml:space="preserve">Uang yang Harus diteruskan</t>
  </si>
  <si>
    <t xml:space="preserve">51.01</t>
  </si>
  <si>
    <t xml:space="preserve">Piutang Karyawan</t>
  </si>
  <si>
    <t xml:space="preserve">52.01</t>
  </si>
  <si>
    <t xml:space="preserve">Hutang Karyawan</t>
  </si>
  <si>
    <t xml:space="preserve">TOTAL SALDO AWAL</t>
  </si>
  <si>
    <t xml:space="preserve">TOTAL SALDO AKHIR</t>
  </si>
  <si>
    <t xml:space="preserve">Sel kuning = kolom input saldo (isi manual per akun)</t>
  </si>
  <si>
    <t xml:space="preserve">Baris abu-abu = judul kelompok akun (tidak diinput, bukan bagian penjumlahan)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</si>
</sst>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F6228"/>
        <bgColor rgb="FF333333"/>
      </patternFill>
    </fill>
    <fill>
      <patternFill patternType="solid">
        <fgColor rgb="FFD9D9D9"/>
        <bgColor rgb="FFEDEDED"/>
      </patternFill>
    </fill>
    <fill>
      <patternFill patternType="solid">
        <fgColor rgb="FFEDEDED"/>
        <bgColor rgb="FFFFFFFF"/>
      </patternFill>
    </fill>
    <fill>
      <patternFill patternType="solid">
        <fgColor rgb="FFFFFF99"/>
        <bgColor rgb="FFEDEDED"/>
      </patternFill>
    </fill>
    <fill>
      <patternFill patternType="solid">
        <fgColor rgb="FFBFBFBF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62"/>
    <col collapsed="false" customWidth="true" hidden="false" outlineLevel="0" max="3" min="3" style="1" width="18"/>
  </cols>
  <sheetData>
    <row r="1" customFormat="false" ht="15.7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>
      <c r="A3" s="4" t="s">
        <v>2</v>
      </c>
      <c r="B3" s="4"/>
      <c r="C3" s="4"/>
    </row>
    <row r="5" customFormat="false" ht="19.5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15" hidden="false" customHeight="true" outlineLevel="0" collapsed="false">
      <c r="A6" s="6" t="s">
        <v>6</v>
      </c>
      <c r="B6" s="7" t="s">
        <v>7</v>
      </c>
      <c r="C6" s="8" t="n">
        <f aca="false">SUM(C7,C15,C19,C26,C29,C30,C31,C39,C40,C48,C57,C58)</f>
        <v>0</v>
      </c>
    </row>
    <row r="7" customFormat="false" ht="15" hidden="false" customHeight="true" outlineLevel="0" collapsed="false">
      <c r="A7" s="9" t="s">
        <v>8</v>
      </c>
      <c r="B7" s="10" t="s">
        <v>9</v>
      </c>
      <c r="C7" s="11" t="n">
        <f aca="false">SUM(C8,C9,C10,C11,C12,C13,C14)</f>
        <v>0</v>
      </c>
    </row>
    <row r="8" customFormat="false" ht="15" hidden="false" customHeight="true" outlineLevel="0" collapsed="false">
      <c r="A8" s="12" t="s">
        <v>10</v>
      </c>
      <c r="B8" s="13" t="s">
        <v>11</v>
      </c>
      <c r="C8" s="14"/>
    </row>
    <row r="9" customFormat="false" ht="15" hidden="false" customHeight="true" outlineLevel="0" collapsed="false">
      <c r="A9" s="12" t="s">
        <v>12</v>
      </c>
      <c r="B9" s="13" t="s">
        <v>13</v>
      </c>
      <c r="C9" s="14"/>
    </row>
    <row r="10" customFormat="false" ht="15" hidden="false" customHeight="true" outlineLevel="0" collapsed="false">
      <c r="A10" s="12" t="s">
        <v>14</v>
      </c>
      <c r="B10" s="13" t="s">
        <v>15</v>
      </c>
      <c r="C10" s="14"/>
    </row>
    <row r="11" customFormat="false" ht="15" hidden="false" customHeight="true" outlineLevel="0" collapsed="false">
      <c r="A11" s="12" t="s">
        <v>16</v>
      </c>
      <c r="B11" s="13" t="s">
        <v>17</v>
      </c>
      <c r="C11" s="14"/>
    </row>
    <row r="12" customFormat="false" ht="15" hidden="false" customHeight="true" outlineLevel="0" collapsed="false">
      <c r="A12" s="12" t="s">
        <v>18</v>
      </c>
      <c r="B12" s="13" t="s">
        <v>19</v>
      </c>
      <c r="C12" s="14"/>
    </row>
    <row r="13" customFormat="false" ht="15" hidden="false" customHeight="true" outlineLevel="0" collapsed="false">
      <c r="A13" s="12" t="s">
        <v>20</v>
      </c>
      <c r="B13" s="13" t="s">
        <v>21</v>
      </c>
      <c r="C13" s="14"/>
    </row>
    <row r="14" customFormat="false" ht="15" hidden="false" customHeight="true" outlineLevel="0" collapsed="false">
      <c r="A14" s="12" t="s">
        <v>22</v>
      </c>
      <c r="B14" s="13" t="s">
        <v>23</v>
      </c>
      <c r="C14" s="14"/>
    </row>
    <row r="15" customFormat="false" ht="15" hidden="false" customHeight="true" outlineLevel="0" collapsed="false">
      <c r="A15" s="9" t="s">
        <v>24</v>
      </c>
      <c r="B15" s="10" t="s">
        <v>25</v>
      </c>
      <c r="C15" s="11" t="n">
        <f aca="false">SUM(C16,C17,C18)</f>
        <v>0</v>
      </c>
    </row>
    <row r="16" customFormat="false" ht="15" hidden="false" customHeight="true" outlineLevel="0" collapsed="false">
      <c r="A16" s="12" t="s">
        <v>26</v>
      </c>
      <c r="B16" s="13" t="s">
        <v>27</v>
      </c>
      <c r="C16" s="14"/>
    </row>
    <row r="17" customFormat="false" ht="15" hidden="false" customHeight="true" outlineLevel="0" collapsed="false">
      <c r="A17" s="12" t="s">
        <v>28</v>
      </c>
      <c r="B17" s="13" t="s">
        <v>29</v>
      </c>
      <c r="C17" s="14"/>
    </row>
    <row r="18" customFormat="false" ht="15" hidden="false" customHeight="true" outlineLevel="0" collapsed="false">
      <c r="A18" s="12" t="s">
        <v>30</v>
      </c>
      <c r="B18" s="13" t="s">
        <v>31</v>
      </c>
      <c r="C18" s="14"/>
    </row>
    <row r="19" customFormat="false" ht="15" hidden="false" customHeight="true" outlineLevel="0" collapsed="false">
      <c r="A19" s="9" t="s">
        <v>32</v>
      </c>
      <c r="B19" s="10" t="s">
        <v>33</v>
      </c>
      <c r="C19" s="11" t="n">
        <f aca="false">SUM(C20,C21,C22,C23,C24,C25)</f>
        <v>0</v>
      </c>
    </row>
    <row r="20" customFormat="false" ht="15" hidden="false" customHeight="true" outlineLevel="0" collapsed="false">
      <c r="A20" s="12" t="s">
        <v>34</v>
      </c>
      <c r="B20" s="13" t="s">
        <v>35</v>
      </c>
      <c r="C20" s="14"/>
    </row>
    <row r="21" customFormat="false" ht="15" hidden="false" customHeight="true" outlineLevel="0" collapsed="false">
      <c r="A21" s="12" t="s">
        <v>36</v>
      </c>
      <c r="B21" s="13" t="s">
        <v>37</v>
      </c>
      <c r="C21" s="14"/>
    </row>
    <row r="22" customFormat="false" ht="15" hidden="false" customHeight="true" outlineLevel="0" collapsed="false">
      <c r="A22" s="12" t="s">
        <v>38</v>
      </c>
      <c r="B22" s="13" t="s">
        <v>39</v>
      </c>
      <c r="C22" s="14"/>
    </row>
    <row r="23" customFormat="false" ht="15" hidden="false" customHeight="true" outlineLevel="0" collapsed="false">
      <c r="A23" s="12" t="s">
        <v>40</v>
      </c>
      <c r="B23" s="13" t="s">
        <v>41</v>
      </c>
      <c r="C23" s="14"/>
    </row>
    <row r="24" customFormat="false" ht="15" hidden="false" customHeight="true" outlineLevel="0" collapsed="false">
      <c r="A24" s="12" t="s">
        <v>42</v>
      </c>
      <c r="B24" s="13" t="s">
        <v>43</v>
      </c>
      <c r="C24" s="14"/>
    </row>
    <row r="25" customFormat="false" ht="15" hidden="false" customHeight="true" outlineLevel="0" collapsed="false">
      <c r="A25" s="12" t="s">
        <v>44</v>
      </c>
      <c r="B25" s="13" t="s">
        <v>45</v>
      </c>
      <c r="C25" s="14"/>
    </row>
    <row r="26" customFormat="false" ht="15" hidden="false" customHeight="true" outlineLevel="0" collapsed="false">
      <c r="A26" s="9" t="s">
        <v>46</v>
      </c>
      <c r="B26" s="10" t="s">
        <v>47</v>
      </c>
      <c r="C26" s="11" t="n">
        <f aca="false">SUM(C27,C28)</f>
        <v>0</v>
      </c>
    </row>
    <row r="27" customFormat="false" ht="15" hidden="false" customHeight="true" outlineLevel="0" collapsed="false">
      <c r="A27" s="12" t="s">
        <v>48</v>
      </c>
      <c r="B27" s="13" t="s">
        <v>49</v>
      </c>
      <c r="C27" s="14"/>
    </row>
    <row r="28" customFormat="false" ht="15" hidden="false" customHeight="true" outlineLevel="0" collapsed="false">
      <c r="A28" s="12" t="s">
        <v>50</v>
      </c>
      <c r="B28" s="13" t="s">
        <v>51</v>
      </c>
      <c r="C28" s="14"/>
    </row>
    <row r="29" customFormat="false" ht="15" hidden="false" customHeight="true" outlineLevel="0" collapsed="false">
      <c r="A29" s="12" t="s">
        <v>52</v>
      </c>
      <c r="B29" s="15" t="s">
        <v>53</v>
      </c>
      <c r="C29" s="14"/>
    </row>
    <row r="30" customFormat="false" ht="15" hidden="false" customHeight="true" outlineLevel="0" collapsed="false">
      <c r="A30" s="12" t="s">
        <v>54</v>
      </c>
      <c r="B30" s="15" t="s">
        <v>55</v>
      </c>
      <c r="C30" s="14"/>
    </row>
    <row r="31" customFormat="false" ht="15" hidden="false" customHeight="true" outlineLevel="0" collapsed="false">
      <c r="A31" s="9" t="s">
        <v>56</v>
      </c>
      <c r="B31" s="10" t="s">
        <v>57</v>
      </c>
      <c r="C31" s="11" t="n">
        <f aca="false">SUM(C32,C33,C34,C35,C36,C37,C38)</f>
        <v>0</v>
      </c>
    </row>
    <row r="32" customFormat="false" ht="15" hidden="false" customHeight="true" outlineLevel="0" collapsed="false">
      <c r="A32" s="12" t="s">
        <v>58</v>
      </c>
      <c r="B32" s="13" t="s">
        <v>59</v>
      </c>
      <c r="C32" s="14"/>
    </row>
    <row r="33" customFormat="false" ht="15" hidden="false" customHeight="true" outlineLevel="0" collapsed="false">
      <c r="A33" s="12" t="s">
        <v>60</v>
      </c>
      <c r="B33" s="13" t="s">
        <v>61</v>
      </c>
      <c r="C33" s="14"/>
    </row>
    <row r="34" customFormat="false" ht="15" hidden="false" customHeight="true" outlineLevel="0" collapsed="false">
      <c r="A34" s="12" t="s">
        <v>62</v>
      </c>
      <c r="B34" s="13" t="s">
        <v>63</v>
      </c>
      <c r="C34" s="14"/>
    </row>
    <row r="35" customFormat="false" ht="15" hidden="false" customHeight="true" outlineLevel="0" collapsed="false">
      <c r="A35" s="12" t="s">
        <v>64</v>
      </c>
      <c r="B35" s="13" t="s">
        <v>65</v>
      </c>
      <c r="C35" s="14"/>
    </row>
    <row r="36" customFormat="false" ht="15" hidden="false" customHeight="true" outlineLevel="0" collapsed="false">
      <c r="A36" s="12" t="s">
        <v>66</v>
      </c>
      <c r="B36" s="13" t="s">
        <v>67</v>
      </c>
      <c r="C36" s="14"/>
    </row>
    <row r="37" customFormat="false" ht="15" hidden="false" customHeight="true" outlineLevel="0" collapsed="false">
      <c r="A37" s="12" t="s">
        <v>68</v>
      </c>
      <c r="B37" s="13" t="s">
        <v>69</v>
      </c>
      <c r="C37" s="14"/>
    </row>
    <row r="38" customFormat="false" ht="15" hidden="false" customHeight="true" outlineLevel="0" collapsed="false">
      <c r="A38" s="12" t="s">
        <v>70</v>
      </c>
      <c r="B38" s="13" t="s">
        <v>71</v>
      </c>
      <c r="C38" s="14"/>
    </row>
    <row r="39" customFormat="false" ht="15" hidden="false" customHeight="true" outlineLevel="0" collapsed="false">
      <c r="A39" s="12" t="s">
        <v>72</v>
      </c>
      <c r="B39" s="15" t="s">
        <v>73</v>
      </c>
      <c r="C39" s="14"/>
    </row>
    <row r="40" customFormat="false" ht="15" hidden="false" customHeight="true" outlineLevel="0" collapsed="false">
      <c r="A40" s="9" t="s">
        <v>74</v>
      </c>
      <c r="B40" s="10" t="s">
        <v>75</v>
      </c>
      <c r="C40" s="11" t="n">
        <f aca="false">SUM(C41,C42,C43,C44,C45,C46,C47)</f>
        <v>0</v>
      </c>
    </row>
    <row r="41" customFormat="false" ht="15" hidden="false" customHeight="true" outlineLevel="0" collapsed="false">
      <c r="A41" s="12" t="s">
        <v>76</v>
      </c>
      <c r="B41" s="13" t="s">
        <v>77</v>
      </c>
      <c r="C41" s="14"/>
    </row>
    <row r="42" customFormat="false" ht="15" hidden="false" customHeight="true" outlineLevel="0" collapsed="false">
      <c r="A42" s="12" t="s">
        <v>78</v>
      </c>
      <c r="B42" s="13" t="s">
        <v>79</v>
      </c>
      <c r="C42" s="14"/>
    </row>
    <row r="43" customFormat="false" ht="15" hidden="false" customHeight="true" outlineLevel="0" collapsed="false">
      <c r="A43" s="12" t="s">
        <v>80</v>
      </c>
      <c r="B43" s="13" t="s">
        <v>15</v>
      </c>
      <c r="C43" s="14"/>
    </row>
    <row r="44" customFormat="false" ht="15" hidden="false" customHeight="true" outlineLevel="0" collapsed="false">
      <c r="A44" s="12" t="s">
        <v>81</v>
      </c>
      <c r="B44" s="13" t="s">
        <v>82</v>
      </c>
      <c r="C44" s="14"/>
    </row>
    <row r="45" customFormat="false" ht="15" hidden="false" customHeight="true" outlineLevel="0" collapsed="false">
      <c r="A45" s="12" t="s">
        <v>83</v>
      </c>
      <c r="B45" s="13" t="s">
        <v>84</v>
      </c>
      <c r="C45" s="14"/>
    </row>
    <row r="46" customFormat="false" ht="15" hidden="false" customHeight="true" outlineLevel="0" collapsed="false">
      <c r="A46" s="12" t="s">
        <v>85</v>
      </c>
      <c r="B46" s="13" t="s">
        <v>21</v>
      </c>
      <c r="C46" s="14"/>
    </row>
    <row r="47" customFormat="false" ht="15" hidden="false" customHeight="true" outlineLevel="0" collapsed="false">
      <c r="A47" s="12" t="s">
        <v>86</v>
      </c>
      <c r="B47" s="13" t="s">
        <v>23</v>
      </c>
      <c r="C47" s="14"/>
    </row>
    <row r="48" customFormat="false" ht="15" hidden="false" customHeight="true" outlineLevel="0" collapsed="false">
      <c r="A48" s="9" t="s">
        <v>87</v>
      </c>
      <c r="B48" s="10" t="s">
        <v>88</v>
      </c>
      <c r="C48" s="11" t="n">
        <f aca="false">SUM(C49,C50,C51,C52,C53,C54,C55,C56)</f>
        <v>0</v>
      </c>
    </row>
    <row r="49" customFormat="false" ht="15" hidden="false" customHeight="true" outlineLevel="0" collapsed="false">
      <c r="A49" s="12" t="s">
        <v>89</v>
      </c>
      <c r="B49" s="13" t="s">
        <v>90</v>
      </c>
      <c r="C49" s="14"/>
    </row>
    <row r="50" customFormat="false" ht="15" hidden="false" customHeight="true" outlineLevel="0" collapsed="false">
      <c r="A50" s="12" t="s">
        <v>91</v>
      </c>
      <c r="B50" s="13" t="s">
        <v>92</v>
      </c>
      <c r="C50" s="14"/>
    </row>
    <row r="51" customFormat="false" ht="15" hidden="false" customHeight="true" outlineLevel="0" collapsed="false">
      <c r="A51" s="12" t="s">
        <v>93</v>
      </c>
      <c r="B51" s="13" t="s">
        <v>94</v>
      </c>
      <c r="C51" s="14"/>
    </row>
    <row r="52" customFormat="false" ht="15" hidden="false" customHeight="true" outlineLevel="0" collapsed="false">
      <c r="A52" s="12" t="s">
        <v>95</v>
      </c>
      <c r="B52" s="13" t="s">
        <v>96</v>
      </c>
      <c r="C52" s="14"/>
    </row>
    <row r="53" customFormat="false" ht="15" hidden="false" customHeight="true" outlineLevel="0" collapsed="false">
      <c r="A53" s="12" t="s">
        <v>97</v>
      </c>
      <c r="B53" s="13" t="s">
        <v>98</v>
      </c>
      <c r="C53" s="14"/>
    </row>
    <row r="54" customFormat="false" ht="15" hidden="false" customHeight="true" outlineLevel="0" collapsed="false">
      <c r="A54" s="12" t="s">
        <v>99</v>
      </c>
      <c r="B54" s="13" t="s">
        <v>100</v>
      </c>
      <c r="C54" s="14"/>
    </row>
    <row r="55" customFormat="false" ht="15" hidden="false" customHeight="true" outlineLevel="0" collapsed="false">
      <c r="A55" s="12" t="s">
        <v>101</v>
      </c>
      <c r="B55" s="13" t="s">
        <v>102</v>
      </c>
      <c r="C55" s="14"/>
    </row>
    <row r="56" customFormat="false" ht="15" hidden="false" customHeight="true" outlineLevel="0" collapsed="false">
      <c r="A56" s="12" t="s">
        <v>103</v>
      </c>
      <c r="B56" s="13" t="s">
        <v>104</v>
      </c>
      <c r="C56" s="14"/>
    </row>
    <row r="57" customFormat="false" ht="15" hidden="false" customHeight="true" outlineLevel="0" collapsed="false">
      <c r="A57" s="12" t="s">
        <v>105</v>
      </c>
      <c r="B57" s="15" t="s">
        <v>106</v>
      </c>
      <c r="C57" s="14"/>
    </row>
    <row r="58" customFormat="false" ht="15" hidden="false" customHeight="true" outlineLevel="0" collapsed="false">
      <c r="A58" s="12" t="s">
        <v>107</v>
      </c>
      <c r="B58" s="15" t="s">
        <v>108</v>
      </c>
      <c r="C58" s="14"/>
    </row>
    <row r="59" customFormat="false" ht="15" hidden="false" customHeight="true" outlineLevel="0" collapsed="false">
      <c r="A59" s="12" t="s">
        <v>109</v>
      </c>
      <c r="B59" s="16" t="s">
        <v>110</v>
      </c>
      <c r="C59" s="14"/>
    </row>
    <row r="60" customFormat="false" ht="15" hidden="false" customHeight="true" outlineLevel="0" collapsed="false">
      <c r="A60" s="6" t="s">
        <v>111</v>
      </c>
      <c r="B60" s="7" t="s">
        <v>112</v>
      </c>
      <c r="C60" s="8" t="n">
        <f aca="false">SUM(C61,C103,C113,C121,C142,C146)</f>
        <v>0</v>
      </c>
    </row>
    <row r="61" customFormat="false" ht="15" hidden="false" customHeight="true" outlineLevel="0" collapsed="false">
      <c r="A61" s="9" t="s">
        <v>113</v>
      </c>
      <c r="B61" s="10" t="s">
        <v>114</v>
      </c>
      <c r="C61" s="11" t="n">
        <f aca="false">SUM(C62,C63,C64,C65,C66,C67,C68,C69,C70,C71,C72,C73,C74,C75,C76,C77,C78,C79,C80,C81,C82,C83,C84,C85,C86,C87,C88,C89,C90,C91,C92,C93,C94,C95,C96,C97,C98,C99,C100,C101,C102)</f>
        <v>0</v>
      </c>
    </row>
    <row r="62" customFormat="false" ht="15" hidden="false" customHeight="true" outlineLevel="0" collapsed="false">
      <c r="A62" s="12" t="s">
        <v>115</v>
      </c>
      <c r="B62" s="13" t="s">
        <v>116</v>
      </c>
      <c r="C62" s="14"/>
    </row>
    <row r="63" customFormat="false" ht="15" hidden="false" customHeight="true" outlineLevel="0" collapsed="false">
      <c r="A63" s="12" t="s">
        <v>117</v>
      </c>
      <c r="B63" s="13" t="s">
        <v>118</v>
      </c>
      <c r="C63" s="14"/>
    </row>
    <row r="64" customFormat="false" ht="15" hidden="false" customHeight="true" outlineLevel="0" collapsed="false">
      <c r="A64" s="12" t="s">
        <v>119</v>
      </c>
      <c r="B64" s="13" t="s">
        <v>120</v>
      </c>
      <c r="C64" s="14"/>
    </row>
    <row r="65" customFormat="false" ht="15" hidden="false" customHeight="true" outlineLevel="0" collapsed="false">
      <c r="A65" s="12" t="s">
        <v>121</v>
      </c>
      <c r="B65" s="13" t="s">
        <v>122</v>
      </c>
      <c r="C65" s="14"/>
    </row>
    <row r="66" customFormat="false" ht="15" hidden="false" customHeight="true" outlineLevel="0" collapsed="false">
      <c r="A66" s="12" t="s">
        <v>123</v>
      </c>
      <c r="B66" s="13" t="s">
        <v>124</v>
      </c>
      <c r="C66" s="14"/>
    </row>
    <row r="67" customFormat="false" ht="15" hidden="false" customHeight="true" outlineLevel="0" collapsed="false">
      <c r="A67" s="12" t="s">
        <v>125</v>
      </c>
      <c r="B67" s="13" t="s">
        <v>126</v>
      </c>
      <c r="C67" s="14"/>
    </row>
    <row r="68" customFormat="false" ht="15" hidden="false" customHeight="true" outlineLevel="0" collapsed="false">
      <c r="A68" s="12" t="s">
        <v>127</v>
      </c>
      <c r="B68" s="13" t="s">
        <v>128</v>
      </c>
      <c r="C68" s="14"/>
    </row>
    <row r="69" customFormat="false" ht="15" hidden="false" customHeight="true" outlineLevel="0" collapsed="false">
      <c r="A69" s="12" t="s">
        <v>129</v>
      </c>
      <c r="B69" s="13" t="s">
        <v>130</v>
      </c>
      <c r="C69" s="14"/>
    </row>
    <row r="70" customFormat="false" ht="15" hidden="false" customHeight="true" outlineLevel="0" collapsed="false">
      <c r="A70" s="12" t="s">
        <v>131</v>
      </c>
      <c r="B70" s="13" t="s">
        <v>132</v>
      </c>
      <c r="C70" s="14"/>
    </row>
    <row r="71" customFormat="false" ht="15" hidden="false" customHeight="true" outlineLevel="0" collapsed="false">
      <c r="A71" s="12" t="s">
        <v>133</v>
      </c>
      <c r="B71" s="13" t="s">
        <v>134</v>
      </c>
      <c r="C71" s="14"/>
    </row>
    <row r="72" customFormat="false" ht="15" hidden="false" customHeight="true" outlineLevel="0" collapsed="false">
      <c r="A72" s="12" t="s">
        <v>135</v>
      </c>
      <c r="B72" s="13" t="s">
        <v>136</v>
      </c>
      <c r="C72" s="14"/>
    </row>
    <row r="73" customFormat="false" ht="15" hidden="false" customHeight="true" outlineLevel="0" collapsed="false">
      <c r="A73" s="12" t="s">
        <v>137</v>
      </c>
      <c r="B73" s="13" t="s">
        <v>138</v>
      </c>
      <c r="C73" s="14"/>
    </row>
    <row r="74" customFormat="false" ht="15" hidden="false" customHeight="true" outlineLevel="0" collapsed="false">
      <c r="A74" s="12" t="s">
        <v>139</v>
      </c>
      <c r="B74" s="13" t="s">
        <v>140</v>
      </c>
      <c r="C74" s="14"/>
    </row>
    <row r="75" customFormat="false" ht="15" hidden="false" customHeight="true" outlineLevel="0" collapsed="false">
      <c r="A75" s="12" t="s">
        <v>141</v>
      </c>
      <c r="B75" s="13" t="s">
        <v>142</v>
      </c>
      <c r="C75" s="14"/>
    </row>
    <row r="76" customFormat="false" ht="15" hidden="false" customHeight="true" outlineLevel="0" collapsed="false">
      <c r="A76" s="12" t="s">
        <v>143</v>
      </c>
      <c r="B76" s="13" t="s">
        <v>144</v>
      </c>
      <c r="C76" s="14"/>
    </row>
    <row r="77" customFormat="false" ht="15" hidden="false" customHeight="true" outlineLevel="0" collapsed="false">
      <c r="A77" s="12" t="s">
        <v>145</v>
      </c>
      <c r="B77" s="13" t="s">
        <v>146</v>
      </c>
      <c r="C77" s="14"/>
    </row>
    <row r="78" customFormat="false" ht="15" hidden="false" customHeight="true" outlineLevel="0" collapsed="false">
      <c r="A78" s="12" t="s">
        <v>147</v>
      </c>
      <c r="B78" s="13" t="s">
        <v>148</v>
      </c>
      <c r="C78" s="14"/>
    </row>
    <row r="79" customFormat="false" ht="15" hidden="false" customHeight="true" outlineLevel="0" collapsed="false">
      <c r="A79" s="12" t="s">
        <v>149</v>
      </c>
      <c r="B79" s="13" t="s">
        <v>150</v>
      </c>
      <c r="C79" s="14"/>
    </row>
    <row r="80" customFormat="false" ht="15" hidden="false" customHeight="true" outlineLevel="0" collapsed="false">
      <c r="A80" s="12" t="s">
        <v>151</v>
      </c>
      <c r="B80" s="13" t="s">
        <v>152</v>
      </c>
      <c r="C80" s="14"/>
    </row>
    <row r="81" customFormat="false" ht="15" hidden="false" customHeight="true" outlineLevel="0" collapsed="false">
      <c r="A81" s="12" t="s">
        <v>153</v>
      </c>
      <c r="B81" s="13" t="s">
        <v>154</v>
      </c>
      <c r="C81" s="14"/>
    </row>
    <row r="82" customFormat="false" ht="15" hidden="false" customHeight="true" outlineLevel="0" collapsed="false">
      <c r="A82" s="12" t="s">
        <v>155</v>
      </c>
      <c r="B82" s="13" t="s">
        <v>156</v>
      </c>
      <c r="C82" s="14"/>
    </row>
    <row r="83" customFormat="false" ht="15" hidden="false" customHeight="true" outlineLevel="0" collapsed="false">
      <c r="A83" s="12" t="s">
        <v>157</v>
      </c>
      <c r="B83" s="13" t="s">
        <v>158</v>
      </c>
      <c r="C83" s="14"/>
    </row>
    <row r="84" customFormat="false" ht="15" hidden="false" customHeight="true" outlineLevel="0" collapsed="false">
      <c r="A84" s="12" t="s">
        <v>159</v>
      </c>
      <c r="B84" s="13" t="s">
        <v>160</v>
      </c>
      <c r="C84" s="14"/>
    </row>
    <row r="85" customFormat="false" ht="15" hidden="false" customHeight="true" outlineLevel="0" collapsed="false">
      <c r="A85" s="12" t="s">
        <v>161</v>
      </c>
      <c r="B85" s="13" t="s">
        <v>162</v>
      </c>
      <c r="C85" s="14"/>
    </row>
    <row r="86" customFormat="false" ht="15" hidden="false" customHeight="true" outlineLevel="0" collapsed="false">
      <c r="A86" s="12" t="s">
        <v>163</v>
      </c>
      <c r="B86" s="13" t="s">
        <v>164</v>
      </c>
      <c r="C86" s="14"/>
    </row>
    <row r="87" customFormat="false" ht="15" hidden="false" customHeight="true" outlineLevel="0" collapsed="false">
      <c r="A87" s="12" t="s">
        <v>165</v>
      </c>
      <c r="B87" s="13" t="s">
        <v>166</v>
      </c>
      <c r="C87" s="14"/>
    </row>
    <row r="88" customFormat="false" ht="15" hidden="false" customHeight="true" outlineLevel="0" collapsed="false">
      <c r="A88" s="12" t="s">
        <v>167</v>
      </c>
      <c r="B88" s="13" t="s">
        <v>168</v>
      </c>
      <c r="C88" s="14"/>
    </row>
    <row r="89" customFormat="false" ht="15" hidden="false" customHeight="true" outlineLevel="0" collapsed="false">
      <c r="A89" s="12" t="s">
        <v>169</v>
      </c>
      <c r="B89" s="13" t="s">
        <v>170</v>
      </c>
      <c r="C89" s="14"/>
    </row>
    <row r="90" customFormat="false" ht="15" hidden="false" customHeight="true" outlineLevel="0" collapsed="false">
      <c r="A90" s="12" t="s">
        <v>171</v>
      </c>
      <c r="B90" s="13" t="s">
        <v>172</v>
      </c>
      <c r="C90" s="14"/>
    </row>
    <row r="91" customFormat="false" ht="15" hidden="false" customHeight="true" outlineLevel="0" collapsed="false">
      <c r="A91" s="12" t="s">
        <v>173</v>
      </c>
      <c r="B91" s="13" t="s">
        <v>174</v>
      </c>
      <c r="C91" s="14"/>
    </row>
    <row r="92" customFormat="false" ht="15" hidden="false" customHeight="true" outlineLevel="0" collapsed="false">
      <c r="A92" s="12" t="s">
        <v>175</v>
      </c>
      <c r="B92" s="13" t="s">
        <v>176</v>
      </c>
      <c r="C92" s="14"/>
    </row>
    <row r="93" customFormat="false" ht="15" hidden="false" customHeight="true" outlineLevel="0" collapsed="false">
      <c r="A93" s="12" t="s">
        <v>177</v>
      </c>
      <c r="B93" s="13" t="s">
        <v>178</v>
      </c>
      <c r="C93" s="14"/>
    </row>
    <row r="94" customFormat="false" ht="15" hidden="false" customHeight="true" outlineLevel="0" collapsed="false">
      <c r="A94" s="12" t="s">
        <v>179</v>
      </c>
      <c r="B94" s="13" t="s">
        <v>180</v>
      </c>
      <c r="C94" s="14"/>
    </row>
    <row r="95" customFormat="false" ht="15" hidden="false" customHeight="true" outlineLevel="0" collapsed="false">
      <c r="A95" s="12" t="s">
        <v>181</v>
      </c>
      <c r="B95" s="13" t="s">
        <v>182</v>
      </c>
      <c r="C95" s="14"/>
    </row>
    <row r="96" customFormat="false" ht="15" hidden="false" customHeight="true" outlineLevel="0" collapsed="false">
      <c r="A96" s="12" t="s">
        <v>183</v>
      </c>
      <c r="B96" s="13" t="s">
        <v>184</v>
      </c>
      <c r="C96" s="14"/>
    </row>
    <row r="97" customFormat="false" ht="15" hidden="false" customHeight="true" outlineLevel="0" collapsed="false">
      <c r="A97" s="12" t="s">
        <v>185</v>
      </c>
      <c r="B97" s="13" t="s">
        <v>186</v>
      </c>
      <c r="C97" s="14"/>
    </row>
    <row r="98" customFormat="false" ht="15" hidden="false" customHeight="true" outlineLevel="0" collapsed="false">
      <c r="A98" s="12" t="s">
        <v>187</v>
      </c>
      <c r="B98" s="13" t="s">
        <v>188</v>
      </c>
      <c r="C98" s="14"/>
    </row>
    <row r="99" customFormat="false" ht="15" hidden="false" customHeight="true" outlineLevel="0" collapsed="false">
      <c r="A99" s="12" t="s">
        <v>189</v>
      </c>
      <c r="B99" s="13" t="s">
        <v>190</v>
      </c>
      <c r="C99" s="14"/>
    </row>
    <row r="100" customFormat="false" ht="15" hidden="false" customHeight="true" outlineLevel="0" collapsed="false">
      <c r="A100" s="12" t="s">
        <v>191</v>
      </c>
      <c r="B100" s="13" t="s">
        <v>192</v>
      </c>
      <c r="C100" s="14"/>
    </row>
    <row r="101" customFormat="false" ht="15" hidden="false" customHeight="true" outlineLevel="0" collapsed="false">
      <c r="A101" s="12" t="s">
        <v>193</v>
      </c>
      <c r="B101" s="13" t="s">
        <v>194</v>
      </c>
      <c r="C101" s="14"/>
    </row>
    <row r="102" customFormat="false" ht="15" hidden="false" customHeight="true" outlineLevel="0" collapsed="false">
      <c r="A102" s="12" t="s">
        <v>195</v>
      </c>
      <c r="B102" s="13" t="s">
        <v>196</v>
      </c>
      <c r="C102" s="14"/>
    </row>
    <row r="103" customFormat="false" ht="15" hidden="false" customHeight="true" outlineLevel="0" collapsed="false">
      <c r="A103" s="9" t="s">
        <v>197</v>
      </c>
      <c r="B103" s="10" t="s">
        <v>198</v>
      </c>
      <c r="C103" s="11" t="n">
        <f aca="false">SUM(C104,C105,C106,C107,C108,C109,C110,C111,C112)</f>
        <v>0</v>
      </c>
    </row>
    <row r="104" customFormat="false" ht="15" hidden="false" customHeight="true" outlineLevel="0" collapsed="false">
      <c r="A104" s="12" t="s">
        <v>26</v>
      </c>
      <c r="B104" s="13" t="s">
        <v>199</v>
      </c>
      <c r="C104" s="14"/>
    </row>
    <row r="105" customFormat="false" ht="15" hidden="false" customHeight="true" outlineLevel="0" collapsed="false">
      <c r="A105" s="12" t="s">
        <v>28</v>
      </c>
      <c r="B105" s="13" t="s">
        <v>200</v>
      </c>
      <c r="C105" s="14"/>
    </row>
    <row r="106" customFormat="false" ht="15" hidden="false" customHeight="true" outlineLevel="0" collapsed="false">
      <c r="A106" s="12" t="s">
        <v>30</v>
      </c>
      <c r="B106" s="13" t="s">
        <v>201</v>
      </c>
      <c r="C106" s="14"/>
    </row>
    <row r="107" customFormat="false" ht="15" hidden="false" customHeight="true" outlineLevel="0" collapsed="false">
      <c r="A107" s="12" t="s">
        <v>202</v>
      </c>
      <c r="B107" s="13" t="s">
        <v>203</v>
      </c>
      <c r="C107" s="14"/>
    </row>
    <row r="108" customFormat="false" ht="15" hidden="false" customHeight="true" outlineLevel="0" collapsed="false">
      <c r="A108" s="12" t="s">
        <v>204</v>
      </c>
      <c r="B108" s="13" t="s">
        <v>205</v>
      </c>
      <c r="C108" s="14"/>
    </row>
    <row r="109" customFormat="false" ht="15" hidden="false" customHeight="true" outlineLevel="0" collapsed="false">
      <c r="A109" s="12" t="s">
        <v>206</v>
      </c>
      <c r="B109" s="13" t="s">
        <v>207</v>
      </c>
      <c r="C109" s="14"/>
    </row>
    <row r="110" customFormat="false" ht="15" hidden="false" customHeight="true" outlineLevel="0" collapsed="false">
      <c r="A110" s="12" t="s">
        <v>208</v>
      </c>
      <c r="B110" s="13" t="s">
        <v>209</v>
      </c>
      <c r="C110" s="14"/>
    </row>
    <row r="111" customFormat="false" ht="15" hidden="false" customHeight="true" outlineLevel="0" collapsed="false">
      <c r="A111" s="12" t="s">
        <v>210</v>
      </c>
      <c r="B111" s="13" t="s">
        <v>211</v>
      </c>
      <c r="C111" s="14"/>
    </row>
    <row r="112" customFormat="false" ht="15" hidden="false" customHeight="true" outlineLevel="0" collapsed="false">
      <c r="A112" s="12" t="s">
        <v>212</v>
      </c>
      <c r="B112" s="13" t="s">
        <v>213</v>
      </c>
      <c r="C112" s="14"/>
    </row>
    <row r="113" customFormat="false" ht="15" hidden="false" customHeight="true" outlineLevel="0" collapsed="false">
      <c r="A113" s="12" t="s">
        <v>214</v>
      </c>
      <c r="B113" s="15" t="s">
        <v>215</v>
      </c>
      <c r="C113" s="14"/>
    </row>
    <row r="114" customFormat="false" ht="15" hidden="false" customHeight="true" outlineLevel="0" collapsed="false">
      <c r="A114" s="12" t="s">
        <v>216</v>
      </c>
      <c r="B114" s="13" t="s">
        <v>217</v>
      </c>
      <c r="C114" s="14"/>
    </row>
    <row r="115" customFormat="false" ht="15" hidden="false" customHeight="true" outlineLevel="0" collapsed="false">
      <c r="A115" s="12" t="s">
        <v>218</v>
      </c>
      <c r="B115" s="13" t="s">
        <v>219</v>
      </c>
      <c r="C115" s="14"/>
    </row>
    <row r="116" customFormat="false" ht="15" hidden="false" customHeight="true" outlineLevel="0" collapsed="false">
      <c r="A116" s="12" t="s">
        <v>220</v>
      </c>
      <c r="B116" s="13" t="s">
        <v>221</v>
      </c>
      <c r="C116" s="14"/>
    </row>
    <row r="117" customFormat="false" ht="15" hidden="false" customHeight="true" outlineLevel="0" collapsed="false">
      <c r="A117" s="12" t="s">
        <v>222</v>
      </c>
      <c r="B117" s="13" t="s">
        <v>223</v>
      </c>
      <c r="C117" s="14"/>
    </row>
    <row r="118" customFormat="false" ht="15" hidden="false" customHeight="true" outlineLevel="0" collapsed="false">
      <c r="A118" s="12" t="s">
        <v>224</v>
      </c>
      <c r="B118" s="13" t="s">
        <v>225</v>
      </c>
      <c r="C118" s="14"/>
    </row>
    <row r="119" customFormat="false" ht="15" hidden="false" customHeight="true" outlineLevel="0" collapsed="false">
      <c r="A119" s="12" t="s">
        <v>226</v>
      </c>
      <c r="B119" s="13" t="s">
        <v>227</v>
      </c>
      <c r="C119" s="14"/>
    </row>
    <row r="120" customFormat="false" ht="15" hidden="false" customHeight="true" outlineLevel="0" collapsed="false">
      <c r="A120" s="12" t="s">
        <v>228</v>
      </c>
      <c r="B120" s="13" t="s">
        <v>229</v>
      </c>
      <c r="C120" s="14"/>
    </row>
    <row r="121" customFormat="false" ht="15" hidden="false" customHeight="true" outlineLevel="0" collapsed="false">
      <c r="A121" s="12" t="s">
        <v>230</v>
      </c>
      <c r="B121" s="15" t="s">
        <v>231</v>
      </c>
      <c r="C121" s="14"/>
    </row>
    <row r="122" customFormat="false" ht="15" hidden="false" customHeight="true" outlineLevel="0" collapsed="false">
      <c r="A122" s="12" t="s">
        <v>232</v>
      </c>
      <c r="B122" s="13" t="s">
        <v>233</v>
      </c>
      <c r="C122" s="14"/>
    </row>
    <row r="123" customFormat="false" ht="15" hidden="false" customHeight="true" outlineLevel="0" collapsed="false">
      <c r="A123" s="12" t="s">
        <v>234</v>
      </c>
      <c r="B123" s="13" t="s">
        <v>235</v>
      </c>
      <c r="C123" s="14"/>
    </row>
    <row r="124" customFormat="false" ht="15" hidden="false" customHeight="true" outlineLevel="0" collapsed="false">
      <c r="A124" s="12" t="s">
        <v>236</v>
      </c>
      <c r="B124" s="13" t="s">
        <v>237</v>
      </c>
      <c r="C124" s="14"/>
    </row>
    <row r="125" customFormat="false" ht="15" hidden="false" customHeight="true" outlineLevel="0" collapsed="false">
      <c r="A125" s="12" t="s">
        <v>238</v>
      </c>
      <c r="B125" s="13" t="s">
        <v>156</v>
      </c>
      <c r="C125" s="14"/>
    </row>
    <row r="126" customFormat="false" ht="15" hidden="false" customHeight="true" outlineLevel="0" collapsed="false">
      <c r="A126" s="12" t="s">
        <v>239</v>
      </c>
      <c r="B126" s="13" t="s">
        <v>160</v>
      </c>
      <c r="C126" s="14"/>
    </row>
    <row r="127" customFormat="false" ht="15" hidden="false" customHeight="true" outlineLevel="0" collapsed="false">
      <c r="A127" s="12" t="s">
        <v>240</v>
      </c>
      <c r="B127" s="13" t="s">
        <v>158</v>
      </c>
      <c r="C127" s="14"/>
    </row>
    <row r="128" customFormat="false" ht="15" hidden="false" customHeight="true" outlineLevel="0" collapsed="false">
      <c r="A128" s="12" t="s">
        <v>241</v>
      </c>
      <c r="B128" s="13" t="s">
        <v>242</v>
      </c>
      <c r="C128" s="14"/>
    </row>
    <row r="129" customFormat="false" ht="15" hidden="false" customHeight="true" outlineLevel="0" collapsed="false">
      <c r="A129" s="12" t="s">
        <v>243</v>
      </c>
      <c r="B129" s="13" t="s">
        <v>244</v>
      </c>
      <c r="C129" s="14"/>
    </row>
    <row r="130" customFormat="false" ht="15" hidden="false" customHeight="true" outlineLevel="0" collapsed="false">
      <c r="A130" s="12" t="s">
        <v>245</v>
      </c>
      <c r="B130" s="13" t="s">
        <v>246</v>
      </c>
      <c r="C130" s="14"/>
    </row>
    <row r="131" customFormat="false" ht="15" hidden="false" customHeight="true" outlineLevel="0" collapsed="false">
      <c r="A131" s="12" t="s">
        <v>247</v>
      </c>
      <c r="B131" s="13" t="s">
        <v>248</v>
      </c>
      <c r="C131" s="14"/>
    </row>
    <row r="132" customFormat="false" ht="15" hidden="false" customHeight="true" outlineLevel="0" collapsed="false">
      <c r="A132" s="12" t="s">
        <v>249</v>
      </c>
      <c r="B132" s="13" t="s">
        <v>250</v>
      </c>
      <c r="C132" s="14"/>
    </row>
    <row r="133" customFormat="false" ht="15" hidden="false" customHeight="true" outlineLevel="0" collapsed="false">
      <c r="A133" s="12" t="s">
        <v>251</v>
      </c>
      <c r="B133" s="13" t="s">
        <v>252</v>
      </c>
      <c r="C133" s="14"/>
    </row>
    <row r="134" customFormat="false" ht="15" hidden="false" customHeight="true" outlineLevel="0" collapsed="false">
      <c r="A134" s="12" t="s">
        <v>253</v>
      </c>
      <c r="B134" s="13" t="s">
        <v>254</v>
      </c>
      <c r="C134" s="14"/>
    </row>
    <row r="135" customFormat="false" ht="15" hidden="false" customHeight="true" outlineLevel="0" collapsed="false">
      <c r="A135" s="12" t="s">
        <v>255</v>
      </c>
      <c r="B135" s="13" t="s">
        <v>256</v>
      </c>
      <c r="C135" s="14"/>
    </row>
    <row r="136" customFormat="false" ht="15" hidden="false" customHeight="true" outlineLevel="0" collapsed="false">
      <c r="A136" s="12" t="s">
        <v>257</v>
      </c>
      <c r="B136" s="13" t="s">
        <v>258</v>
      </c>
      <c r="C136" s="14"/>
    </row>
    <row r="137" customFormat="false" ht="15" hidden="false" customHeight="true" outlineLevel="0" collapsed="false">
      <c r="A137" s="12" t="s">
        <v>259</v>
      </c>
      <c r="B137" s="13" t="s">
        <v>260</v>
      </c>
      <c r="C137" s="14"/>
    </row>
    <row r="138" customFormat="false" ht="15" hidden="false" customHeight="true" outlineLevel="0" collapsed="false">
      <c r="A138" s="12" t="s">
        <v>261</v>
      </c>
      <c r="B138" s="13" t="s">
        <v>262</v>
      </c>
      <c r="C138" s="14"/>
    </row>
    <row r="139" customFormat="false" ht="15" hidden="false" customHeight="true" outlineLevel="0" collapsed="false">
      <c r="A139" s="12" t="s">
        <v>263</v>
      </c>
      <c r="B139" s="13" t="s">
        <v>264</v>
      </c>
      <c r="C139" s="14"/>
    </row>
    <row r="140" customFormat="false" ht="15" hidden="false" customHeight="true" outlineLevel="0" collapsed="false">
      <c r="A140" s="12" t="s">
        <v>265</v>
      </c>
      <c r="B140" s="13" t="s">
        <v>266</v>
      </c>
      <c r="C140" s="14"/>
    </row>
    <row r="141" customFormat="false" ht="15" hidden="false" customHeight="true" outlineLevel="0" collapsed="false">
      <c r="A141" s="12" t="s">
        <v>267</v>
      </c>
      <c r="B141" s="13" t="s">
        <v>268</v>
      </c>
      <c r="C141" s="14"/>
    </row>
    <row r="142" customFormat="false" ht="15" hidden="false" customHeight="true" outlineLevel="0" collapsed="false">
      <c r="A142" s="9" t="s">
        <v>269</v>
      </c>
      <c r="B142" s="10" t="s">
        <v>270</v>
      </c>
      <c r="C142" s="11" t="n">
        <f aca="false">SUM(C143,C144,C145)</f>
        <v>0</v>
      </c>
    </row>
    <row r="143" customFormat="false" ht="15" hidden="false" customHeight="true" outlineLevel="0" collapsed="false">
      <c r="A143" s="12" t="s">
        <v>271</v>
      </c>
      <c r="B143" s="13" t="s">
        <v>272</v>
      </c>
      <c r="C143" s="14"/>
    </row>
    <row r="144" customFormat="false" ht="15" hidden="false" customHeight="true" outlineLevel="0" collapsed="false">
      <c r="A144" s="12" t="s">
        <v>273</v>
      </c>
      <c r="B144" s="13" t="s">
        <v>274</v>
      </c>
      <c r="C144" s="14"/>
    </row>
    <row r="145" customFormat="false" ht="15" hidden="false" customHeight="true" outlineLevel="0" collapsed="false">
      <c r="A145" s="12" t="s">
        <v>275</v>
      </c>
      <c r="B145" s="13" t="s">
        <v>276</v>
      </c>
      <c r="C145" s="14"/>
    </row>
    <row r="146" customFormat="false" ht="15" hidden="false" customHeight="true" outlineLevel="0" collapsed="false">
      <c r="A146" s="9" t="s">
        <v>277</v>
      </c>
      <c r="B146" s="10" t="s">
        <v>278</v>
      </c>
      <c r="C146" s="11" t="n">
        <f aca="false">SUM(C147,C148,C149,C150,C151,C152,C153,C154,C155,C156,C157)</f>
        <v>0</v>
      </c>
    </row>
    <row r="147" customFormat="false" ht="15" hidden="false" customHeight="true" outlineLevel="0" collapsed="false">
      <c r="A147" s="12" t="s">
        <v>279</v>
      </c>
      <c r="B147" s="13" t="s">
        <v>280</v>
      </c>
      <c r="C147" s="14"/>
    </row>
    <row r="148" customFormat="false" ht="15" hidden="false" customHeight="true" outlineLevel="0" collapsed="false">
      <c r="A148" s="12" t="s">
        <v>281</v>
      </c>
      <c r="B148" s="13" t="s">
        <v>282</v>
      </c>
      <c r="C148" s="14"/>
    </row>
    <row r="149" customFormat="false" ht="15" hidden="false" customHeight="true" outlineLevel="0" collapsed="false">
      <c r="A149" s="12" t="s">
        <v>283</v>
      </c>
      <c r="B149" s="13" t="s">
        <v>284</v>
      </c>
      <c r="C149" s="14"/>
    </row>
    <row r="150" customFormat="false" ht="15" hidden="false" customHeight="true" outlineLevel="0" collapsed="false">
      <c r="A150" s="12" t="s">
        <v>285</v>
      </c>
      <c r="B150" s="13" t="s">
        <v>286</v>
      </c>
      <c r="C150" s="14"/>
    </row>
    <row r="151" customFormat="false" ht="15" hidden="false" customHeight="true" outlineLevel="0" collapsed="false">
      <c r="A151" s="12" t="s">
        <v>287</v>
      </c>
      <c r="B151" s="13" t="s">
        <v>288</v>
      </c>
      <c r="C151" s="14"/>
    </row>
    <row r="152" customFormat="false" ht="15" hidden="false" customHeight="true" outlineLevel="0" collapsed="false">
      <c r="A152" s="12" t="s">
        <v>289</v>
      </c>
      <c r="B152" s="13" t="s">
        <v>290</v>
      </c>
      <c r="C152" s="14"/>
    </row>
    <row r="153" customFormat="false" ht="15" hidden="false" customHeight="true" outlineLevel="0" collapsed="false">
      <c r="A153" s="12" t="s">
        <v>291</v>
      </c>
      <c r="B153" s="13" t="s">
        <v>292</v>
      </c>
      <c r="C153" s="14"/>
    </row>
    <row r="154" customFormat="false" ht="15" hidden="false" customHeight="true" outlineLevel="0" collapsed="false">
      <c r="A154" s="12" t="s">
        <v>293</v>
      </c>
      <c r="B154" s="13" t="s">
        <v>294</v>
      </c>
      <c r="C154" s="14"/>
    </row>
    <row r="155" customFormat="false" ht="15" hidden="false" customHeight="true" outlineLevel="0" collapsed="false">
      <c r="A155" s="12" t="s">
        <v>295</v>
      </c>
      <c r="B155" s="13" t="s">
        <v>296</v>
      </c>
      <c r="C155" s="14"/>
    </row>
    <row r="156" customFormat="false" ht="15" hidden="false" customHeight="true" outlineLevel="0" collapsed="false">
      <c r="A156" s="12" t="s">
        <v>297</v>
      </c>
      <c r="B156" s="13" t="s">
        <v>298</v>
      </c>
      <c r="C156" s="14"/>
    </row>
    <row r="157" customFormat="false" ht="15" hidden="false" customHeight="true" outlineLevel="0" collapsed="false">
      <c r="A157" s="12" t="s">
        <v>299</v>
      </c>
      <c r="B157" s="13" t="s">
        <v>300</v>
      </c>
      <c r="C157" s="14"/>
    </row>
    <row r="159" customFormat="false" ht="15" hidden="false" customHeight="true" outlineLevel="0" collapsed="false">
      <c r="A159" s="17" t="s">
        <v>301</v>
      </c>
      <c r="B159" s="17"/>
      <c r="C159" s="18" t="n">
        <f aca="false">SUM(C6,C59,C60)</f>
        <v>0</v>
      </c>
    </row>
    <row r="161" customFormat="false" ht="15" hidden="false" customHeight="true" outlineLevel="0" collapsed="false">
      <c r="A161" s="19" t="s">
        <v>302</v>
      </c>
    </row>
    <row r="162" customFormat="false" ht="15" hidden="false" customHeight="true" outlineLevel="0" collapsed="false">
      <c r="A162" s="20" t="s">
        <v>303</v>
      </c>
    </row>
    <row r="163" customFormat="false" ht="15" hidden="false" customHeight="true" outlineLevel="0" collapsed="false">
      <c r="A163" s="20" t="s">
        <v>304</v>
      </c>
    </row>
  </sheetData>
  <mergeCells count="4">
    <mergeCell ref="A1:C1"/>
    <mergeCell ref="A2:C2"/>
    <mergeCell ref="A3:C3"/>
    <mergeCell ref="A159:B1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62"/>
    <col collapsed="false" customWidth="true" hidden="false" outlineLevel="0" max="3" min="3" style="1" width="18"/>
  </cols>
  <sheetData>
    <row r="1" customFormat="false" ht="15.7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305</v>
      </c>
      <c r="B2" s="3"/>
      <c r="C2" s="3"/>
    </row>
    <row r="3" customFormat="false" ht="15" hidden="false" customHeight="true" outlineLevel="0" collapsed="false">
      <c r="A3" s="4" t="s">
        <v>2</v>
      </c>
      <c r="B3" s="4"/>
      <c r="C3" s="4"/>
    </row>
    <row r="5" customFormat="false" ht="19.5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15" hidden="false" customHeight="true" outlineLevel="0" collapsed="false">
      <c r="A6" s="6" t="s">
        <v>306</v>
      </c>
      <c r="B6" s="7" t="s">
        <v>307</v>
      </c>
      <c r="C6" s="8" t="n">
        <f aca="false">SUM(C7,C11,C16,C22)</f>
        <v>0</v>
      </c>
    </row>
    <row r="7" customFormat="false" ht="15" hidden="false" customHeight="true" outlineLevel="0" collapsed="false">
      <c r="A7" s="9" t="s">
        <v>308</v>
      </c>
      <c r="B7" s="10" t="s">
        <v>309</v>
      </c>
      <c r="C7" s="11" t="n">
        <f aca="false">SUM(C8,C9,C10)</f>
        <v>0</v>
      </c>
    </row>
    <row r="8" customFormat="false" ht="15" hidden="false" customHeight="true" outlineLevel="0" collapsed="false">
      <c r="A8" s="12" t="s">
        <v>310</v>
      </c>
      <c r="B8" s="13" t="s">
        <v>311</v>
      </c>
      <c r="C8" s="14"/>
    </row>
    <row r="9" customFormat="false" ht="15" hidden="false" customHeight="true" outlineLevel="0" collapsed="false">
      <c r="A9" s="12" t="s">
        <v>312</v>
      </c>
      <c r="B9" s="13" t="s">
        <v>313</v>
      </c>
      <c r="C9" s="14"/>
    </row>
    <row r="10" customFormat="false" ht="15" hidden="false" customHeight="true" outlineLevel="0" collapsed="false">
      <c r="A10" s="12" t="s">
        <v>314</v>
      </c>
      <c r="B10" s="13" t="s">
        <v>315</v>
      </c>
      <c r="C10" s="14"/>
    </row>
    <row r="11" customFormat="false" ht="15" hidden="false" customHeight="true" outlineLevel="0" collapsed="false">
      <c r="A11" s="9" t="s">
        <v>316</v>
      </c>
      <c r="B11" s="10" t="s">
        <v>317</v>
      </c>
      <c r="C11" s="11" t="n">
        <f aca="false">SUM(C12,C13,C14,C15)</f>
        <v>0</v>
      </c>
    </row>
    <row r="12" customFormat="false" ht="15" hidden="false" customHeight="true" outlineLevel="0" collapsed="false">
      <c r="A12" s="12" t="s">
        <v>318</v>
      </c>
      <c r="B12" s="13" t="s">
        <v>319</v>
      </c>
      <c r="C12" s="14"/>
    </row>
    <row r="13" customFormat="false" ht="15" hidden="false" customHeight="true" outlineLevel="0" collapsed="false">
      <c r="A13" s="12" t="s">
        <v>320</v>
      </c>
      <c r="B13" s="13" t="s">
        <v>321</v>
      </c>
      <c r="C13" s="14"/>
    </row>
    <row r="14" customFormat="false" ht="15" hidden="false" customHeight="true" outlineLevel="0" collapsed="false">
      <c r="A14" s="12" t="s">
        <v>322</v>
      </c>
      <c r="B14" s="13" t="s">
        <v>323</v>
      </c>
      <c r="C14" s="14"/>
    </row>
    <row r="15" customFormat="false" ht="15" hidden="false" customHeight="true" outlineLevel="0" collapsed="false">
      <c r="A15" s="12" t="s">
        <v>324</v>
      </c>
      <c r="B15" s="13" t="s">
        <v>325</v>
      </c>
      <c r="C15" s="14"/>
    </row>
    <row r="16" customFormat="false" ht="15" hidden="false" customHeight="true" outlineLevel="0" collapsed="false">
      <c r="A16" s="9" t="s">
        <v>326</v>
      </c>
      <c r="B16" s="10" t="s">
        <v>327</v>
      </c>
      <c r="C16" s="11" t="n">
        <f aca="false">SUM(C17,C18,C19,C20,C21)</f>
        <v>0</v>
      </c>
    </row>
    <row r="17" customFormat="false" ht="15" hidden="false" customHeight="true" outlineLevel="0" collapsed="false">
      <c r="A17" s="12" t="s">
        <v>328</v>
      </c>
      <c r="B17" s="13" t="s">
        <v>329</v>
      </c>
      <c r="C17" s="14"/>
    </row>
    <row r="18" customFormat="false" ht="15" hidden="false" customHeight="true" outlineLevel="0" collapsed="false">
      <c r="A18" s="12" t="s">
        <v>330</v>
      </c>
      <c r="B18" s="13" t="s">
        <v>331</v>
      </c>
      <c r="C18" s="14"/>
    </row>
    <row r="19" customFormat="false" ht="15" hidden="false" customHeight="true" outlineLevel="0" collapsed="false">
      <c r="A19" s="12" t="s">
        <v>332</v>
      </c>
      <c r="B19" s="13" t="s">
        <v>333</v>
      </c>
      <c r="C19" s="14"/>
    </row>
    <row r="20" customFormat="false" ht="15" hidden="false" customHeight="true" outlineLevel="0" collapsed="false">
      <c r="A20" s="12" t="s">
        <v>334</v>
      </c>
      <c r="B20" s="13" t="s">
        <v>335</v>
      </c>
      <c r="C20" s="14"/>
    </row>
    <row r="21" customFormat="false" ht="15" hidden="false" customHeight="true" outlineLevel="0" collapsed="false">
      <c r="A21" s="12" t="s">
        <v>336</v>
      </c>
      <c r="B21" s="13" t="s">
        <v>337</v>
      </c>
      <c r="C21" s="14"/>
    </row>
    <row r="22" customFormat="false" ht="15" hidden="false" customHeight="true" outlineLevel="0" collapsed="false">
      <c r="A22" s="12" t="s">
        <v>338</v>
      </c>
      <c r="B22" s="15" t="s">
        <v>339</v>
      </c>
      <c r="C22" s="14"/>
    </row>
    <row r="23" customFormat="false" ht="15" hidden="false" customHeight="true" outlineLevel="0" collapsed="false">
      <c r="A23" s="6" t="s">
        <v>340</v>
      </c>
      <c r="B23" s="7" t="s">
        <v>341</v>
      </c>
      <c r="C23" s="8" t="n">
        <f aca="false">SUM(C24,C45,C58,C62,C70,C76,C78,C80)</f>
        <v>0</v>
      </c>
    </row>
    <row r="24" customFormat="false" ht="15" hidden="false" customHeight="true" outlineLevel="0" collapsed="false">
      <c r="A24" s="9" t="s">
        <v>342</v>
      </c>
      <c r="B24" s="10" t="s">
        <v>343</v>
      </c>
      <c r="C24" s="11" t="n">
        <f aca="false">SUM(C25,C29,C33,C39,C42)</f>
        <v>0</v>
      </c>
    </row>
    <row r="25" customFormat="false" ht="15" hidden="false" customHeight="true" outlineLevel="0" collapsed="false">
      <c r="A25" s="9" t="s">
        <v>344</v>
      </c>
      <c r="B25" s="21" t="s">
        <v>345</v>
      </c>
      <c r="C25" s="11" t="n">
        <f aca="false">SUM(C26,C27,C28)</f>
        <v>0</v>
      </c>
    </row>
    <row r="26" customFormat="false" ht="15" hidden="false" customHeight="true" outlineLevel="0" collapsed="false">
      <c r="A26" s="12" t="s">
        <v>346</v>
      </c>
      <c r="B26" s="22" t="s">
        <v>343</v>
      </c>
      <c r="C26" s="14"/>
    </row>
    <row r="27" customFormat="false" ht="15" hidden="false" customHeight="true" outlineLevel="0" collapsed="false">
      <c r="A27" s="12" t="s">
        <v>347</v>
      </c>
      <c r="B27" s="22" t="s">
        <v>348</v>
      </c>
      <c r="C27" s="14"/>
    </row>
    <row r="28" customFormat="false" ht="15" hidden="false" customHeight="true" outlineLevel="0" collapsed="false">
      <c r="A28" s="12" t="s">
        <v>349</v>
      </c>
      <c r="B28" s="22" t="s">
        <v>350</v>
      </c>
      <c r="C28" s="14"/>
    </row>
    <row r="29" customFormat="false" ht="15" hidden="false" customHeight="true" outlineLevel="0" collapsed="false">
      <c r="A29" s="9" t="s">
        <v>351</v>
      </c>
      <c r="B29" s="21" t="s">
        <v>352</v>
      </c>
      <c r="C29" s="11" t="n">
        <f aca="false">SUM(C30,C31,C32)</f>
        <v>0</v>
      </c>
    </row>
    <row r="30" customFormat="false" ht="15" hidden="false" customHeight="true" outlineLevel="0" collapsed="false">
      <c r="A30" s="12" t="s">
        <v>353</v>
      </c>
      <c r="B30" s="22" t="s">
        <v>343</v>
      </c>
      <c r="C30" s="14"/>
    </row>
    <row r="31" customFormat="false" ht="15" hidden="false" customHeight="true" outlineLevel="0" collapsed="false">
      <c r="A31" s="12" t="s">
        <v>354</v>
      </c>
      <c r="B31" s="22" t="s">
        <v>355</v>
      </c>
      <c r="C31" s="14"/>
    </row>
    <row r="32" customFormat="false" ht="15" hidden="false" customHeight="true" outlineLevel="0" collapsed="false">
      <c r="A32" s="12" t="s">
        <v>356</v>
      </c>
      <c r="B32" s="22" t="s">
        <v>357</v>
      </c>
      <c r="C32" s="14"/>
    </row>
    <row r="33" customFormat="false" ht="15" hidden="false" customHeight="true" outlineLevel="0" collapsed="false">
      <c r="A33" s="9" t="s">
        <v>358</v>
      </c>
      <c r="B33" s="21" t="s">
        <v>359</v>
      </c>
      <c r="C33" s="11" t="n">
        <f aca="false">SUM(C34,C35,C36,C37,C38)</f>
        <v>0</v>
      </c>
    </row>
    <row r="34" customFormat="false" ht="15" hidden="false" customHeight="true" outlineLevel="0" collapsed="false">
      <c r="A34" s="12" t="s">
        <v>360</v>
      </c>
      <c r="B34" s="22" t="s">
        <v>343</v>
      </c>
      <c r="C34" s="14"/>
    </row>
    <row r="35" customFormat="false" ht="15" hidden="false" customHeight="true" outlineLevel="0" collapsed="false">
      <c r="A35" s="12" t="s">
        <v>361</v>
      </c>
      <c r="B35" s="22" t="s">
        <v>362</v>
      </c>
      <c r="C35" s="14"/>
    </row>
    <row r="36" customFormat="false" ht="15" hidden="false" customHeight="true" outlineLevel="0" collapsed="false">
      <c r="A36" s="12" t="s">
        <v>363</v>
      </c>
      <c r="B36" s="22" t="s">
        <v>350</v>
      </c>
      <c r="C36" s="14"/>
    </row>
    <row r="37" customFormat="false" ht="15" hidden="false" customHeight="true" outlineLevel="0" collapsed="false">
      <c r="A37" s="12" t="s">
        <v>364</v>
      </c>
      <c r="B37" s="22" t="s">
        <v>357</v>
      </c>
      <c r="C37" s="14"/>
    </row>
    <row r="38" customFormat="false" ht="15" hidden="false" customHeight="true" outlineLevel="0" collapsed="false">
      <c r="A38" s="12" t="s">
        <v>365</v>
      </c>
      <c r="B38" s="22" t="s">
        <v>348</v>
      </c>
      <c r="C38" s="14"/>
    </row>
    <row r="39" customFormat="false" ht="15" hidden="false" customHeight="true" outlineLevel="0" collapsed="false">
      <c r="A39" s="9" t="s">
        <v>366</v>
      </c>
      <c r="B39" s="21" t="s">
        <v>367</v>
      </c>
      <c r="C39" s="11" t="n">
        <f aca="false">SUM(C40,C41)</f>
        <v>0</v>
      </c>
    </row>
    <row r="40" customFormat="false" ht="15" hidden="false" customHeight="true" outlineLevel="0" collapsed="false">
      <c r="A40" s="12" t="s">
        <v>368</v>
      </c>
      <c r="B40" s="22" t="s">
        <v>343</v>
      </c>
      <c r="C40" s="14"/>
    </row>
    <row r="41" customFormat="false" ht="15" hidden="false" customHeight="true" outlineLevel="0" collapsed="false">
      <c r="A41" s="12" t="s">
        <v>369</v>
      </c>
      <c r="B41" s="22" t="s">
        <v>348</v>
      </c>
      <c r="C41" s="14"/>
    </row>
    <row r="42" customFormat="false" ht="15" hidden="false" customHeight="true" outlineLevel="0" collapsed="false">
      <c r="A42" s="9" t="s">
        <v>370</v>
      </c>
      <c r="B42" s="21" t="s">
        <v>371</v>
      </c>
      <c r="C42" s="11" t="n">
        <f aca="false">SUM(C43,C44)</f>
        <v>0</v>
      </c>
    </row>
    <row r="43" customFormat="false" ht="15" hidden="false" customHeight="true" outlineLevel="0" collapsed="false">
      <c r="A43" s="12" t="s">
        <v>372</v>
      </c>
      <c r="B43" s="22" t="s">
        <v>343</v>
      </c>
      <c r="C43" s="14"/>
    </row>
    <row r="44" customFormat="false" ht="15" hidden="false" customHeight="true" outlineLevel="0" collapsed="false">
      <c r="A44" s="12" t="s">
        <v>373</v>
      </c>
      <c r="B44" s="22" t="s">
        <v>348</v>
      </c>
      <c r="C44" s="14"/>
    </row>
    <row r="45" customFormat="false" ht="15" hidden="false" customHeight="true" outlineLevel="0" collapsed="false">
      <c r="A45" s="9" t="s">
        <v>374</v>
      </c>
      <c r="B45" s="10" t="s">
        <v>375</v>
      </c>
      <c r="C45" s="11" t="n">
        <f aca="false">SUM(C46,C52)</f>
        <v>0</v>
      </c>
    </row>
    <row r="46" customFormat="false" ht="15" hidden="false" customHeight="true" outlineLevel="0" collapsed="false">
      <c r="A46" s="9" t="s">
        <v>376</v>
      </c>
      <c r="B46" s="21" t="s">
        <v>377</v>
      </c>
      <c r="C46" s="11" t="n">
        <f aca="false">SUM(C47,C48,C49,C50,C51)</f>
        <v>0</v>
      </c>
    </row>
    <row r="47" customFormat="false" ht="15" hidden="false" customHeight="true" outlineLevel="0" collapsed="false">
      <c r="A47" s="12" t="s">
        <v>378</v>
      </c>
      <c r="B47" s="22" t="s">
        <v>379</v>
      </c>
      <c r="C47" s="14"/>
    </row>
    <row r="48" customFormat="false" ht="15" hidden="false" customHeight="true" outlineLevel="0" collapsed="false">
      <c r="A48" s="12" t="s">
        <v>380</v>
      </c>
      <c r="B48" s="22" t="s">
        <v>381</v>
      </c>
      <c r="C48" s="14"/>
    </row>
    <row r="49" customFormat="false" ht="15" hidden="false" customHeight="true" outlineLevel="0" collapsed="false">
      <c r="A49" s="12" t="s">
        <v>382</v>
      </c>
      <c r="B49" s="22" t="s">
        <v>383</v>
      </c>
      <c r="C49" s="14"/>
    </row>
    <row r="50" customFormat="false" ht="15" hidden="false" customHeight="true" outlineLevel="0" collapsed="false">
      <c r="A50" s="12" t="s">
        <v>384</v>
      </c>
      <c r="B50" s="22" t="s">
        <v>385</v>
      </c>
      <c r="C50" s="14"/>
    </row>
    <row r="51" customFormat="false" ht="15" hidden="false" customHeight="true" outlineLevel="0" collapsed="false">
      <c r="A51" s="12" t="s">
        <v>386</v>
      </c>
      <c r="B51" s="22" t="s">
        <v>387</v>
      </c>
      <c r="C51" s="14"/>
    </row>
    <row r="52" customFormat="false" ht="15" hidden="false" customHeight="true" outlineLevel="0" collapsed="false">
      <c r="A52" s="9" t="s">
        <v>388</v>
      </c>
      <c r="B52" s="21" t="s">
        <v>389</v>
      </c>
      <c r="C52" s="11" t="n">
        <f aca="false">SUM(C53,C54,C55,C56,C57)</f>
        <v>0</v>
      </c>
    </row>
    <row r="53" customFormat="false" ht="15" hidden="false" customHeight="true" outlineLevel="0" collapsed="false">
      <c r="A53" s="12" t="s">
        <v>390</v>
      </c>
      <c r="B53" s="22" t="s">
        <v>379</v>
      </c>
      <c r="C53" s="14"/>
    </row>
    <row r="54" customFormat="false" ht="15" hidden="false" customHeight="true" outlineLevel="0" collapsed="false">
      <c r="A54" s="12" t="s">
        <v>391</v>
      </c>
      <c r="B54" s="22" t="s">
        <v>381</v>
      </c>
      <c r="C54" s="14"/>
    </row>
    <row r="55" customFormat="false" ht="15" hidden="false" customHeight="true" outlineLevel="0" collapsed="false">
      <c r="A55" s="12" t="s">
        <v>392</v>
      </c>
      <c r="B55" s="22" t="s">
        <v>383</v>
      </c>
      <c r="C55" s="14"/>
    </row>
    <row r="56" customFormat="false" ht="15" hidden="false" customHeight="true" outlineLevel="0" collapsed="false">
      <c r="A56" s="12" t="s">
        <v>393</v>
      </c>
      <c r="B56" s="22" t="s">
        <v>385</v>
      </c>
      <c r="C56" s="14"/>
    </row>
    <row r="57" customFormat="false" ht="15" hidden="false" customHeight="true" outlineLevel="0" collapsed="false">
      <c r="A57" s="12" t="s">
        <v>394</v>
      </c>
      <c r="B57" s="22" t="s">
        <v>387</v>
      </c>
      <c r="C57" s="14"/>
    </row>
    <row r="58" customFormat="false" ht="15" hidden="false" customHeight="true" outlineLevel="0" collapsed="false">
      <c r="A58" s="9" t="s">
        <v>395</v>
      </c>
      <c r="B58" s="10" t="s">
        <v>396</v>
      </c>
      <c r="C58" s="11" t="n">
        <f aca="false">SUM(C59,C60,C61)</f>
        <v>0</v>
      </c>
    </row>
    <row r="59" customFormat="false" ht="15" hidden="false" customHeight="true" outlineLevel="0" collapsed="false">
      <c r="A59" s="12" t="s">
        <v>397</v>
      </c>
      <c r="B59" s="13" t="s">
        <v>385</v>
      </c>
      <c r="C59" s="14"/>
    </row>
    <row r="60" customFormat="false" ht="15" hidden="false" customHeight="true" outlineLevel="0" collapsed="false">
      <c r="A60" s="12" t="s">
        <v>398</v>
      </c>
      <c r="B60" s="13" t="s">
        <v>387</v>
      </c>
      <c r="C60" s="14"/>
    </row>
    <row r="61" customFormat="false" ht="15" hidden="false" customHeight="true" outlineLevel="0" collapsed="false">
      <c r="A61" s="12" t="s">
        <v>399</v>
      </c>
      <c r="B61" s="13" t="s">
        <v>379</v>
      </c>
      <c r="C61" s="14"/>
    </row>
    <row r="62" customFormat="false" ht="15" hidden="false" customHeight="true" outlineLevel="0" collapsed="false">
      <c r="A62" s="9" t="s">
        <v>400</v>
      </c>
      <c r="B62" s="10" t="s">
        <v>401</v>
      </c>
      <c r="C62" s="11" t="n">
        <f aca="false">SUM(C63,C64,C65,C66,C67,C68,C69)</f>
        <v>0</v>
      </c>
    </row>
    <row r="63" customFormat="false" ht="15" hidden="false" customHeight="true" outlineLevel="0" collapsed="false">
      <c r="A63" s="12" t="s">
        <v>402</v>
      </c>
      <c r="B63" s="13" t="s">
        <v>379</v>
      </c>
      <c r="C63" s="14"/>
    </row>
    <row r="64" customFormat="false" ht="15" hidden="false" customHeight="true" outlineLevel="0" collapsed="false">
      <c r="A64" s="12" t="s">
        <v>403</v>
      </c>
      <c r="B64" s="13" t="s">
        <v>381</v>
      </c>
      <c r="C64" s="14"/>
    </row>
    <row r="65" customFormat="false" ht="15" hidden="false" customHeight="true" outlineLevel="0" collapsed="false">
      <c r="A65" s="12" t="s">
        <v>404</v>
      </c>
      <c r="B65" s="13" t="s">
        <v>383</v>
      </c>
      <c r="C65" s="14"/>
    </row>
    <row r="66" customFormat="false" ht="15" hidden="false" customHeight="true" outlineLevel="0" collapsed="false">
      <c r="A66" s="12" t="s">
        <v>405</v>
      </c>
      <c r="B66" s="13" t="s">
        <v>406</v>
      </c>
      <c r="C66" s="14"/>
    </row>
    <row r="67" customFormat="false" ht="15" hidden="false" customHeight="true" outlineLevel="0" collapsed="false">
      <c r="A67" s="12" t="s">
        <v>407</v>
      </c>
      <c r="B67" s="13" t="s">
        <v>385</v>
      </c>
      <c r="C67" s="14"/>
    </row>
    <row r="68" customFormat="false" ht="15" hidden="false" customHeight="true" outlineLevel="0" collapsed="false">
      <c r="A68" s="12" t="s">
        <v>408</v>
      </c>
      <c r="B68" s="13" t="s">
        <v>387</v>
      </c>
      <c r="C68" s="14"/>
    </row>
    <row r="69" customFormat="false" ht="15" hidden="false" customHeight="true" outlineLevel="0" collapsed="false">
      <c r="A69" s="12" t="s">
        <v>409</v>
      </c>
      <c r="B69" s="13" t="s">
        <v>410</v>
      </c>
      <c r="C69" s="14"/>
    </row>
    <row r="70" customFormat="false" ht="15" hidden="false" customHeight="true" outlineLevel="0" collapsed="false">
      <c r="A70" s="9" t="s">
        <v>411</v>
      </c>
      <c r="B70" s="10" t="s">
        <v>412</v>
      </c>
      <c r="C70" s="11" t="n">
        <f aca="false">SUM(C71,C72,C73,C74,C75)</f>
        <v>0</v>
      </c>
    </row>
    <row r="71" customFormat="false" ht="15" hidden="false" customHeight="true" outlineLevel="0" collapsed="false">
      <c r="A71" s="12" t="s">
        <v>413</v>
      </c>
      <c r="B71" s="13" t="s">
        <v>379</v>
      </c>
      <c r="C71" s="14"/>
    </row>
    <row r="72" customFormat="false" ht="15" hidden="false" customHeight="true" outlineLevel="0" collapsed="false">
      <c r="A72" s="12" t="s">
        <v>414</v>
      </c>
      <c r="B72" s="13" t="s">
        <v>381</v>
      </c>
      <c r="C72" s="14"/>
    </row>
    <row r="73" customFormat="false" ht="15" hidden="false" customHeight="true" outlineLevel="0" collapsed="false">
      <c r="A73" s="12" t="s">
        <v>415</v>
      </c>
      <c r="B73" s="13" t="s">
        <v>383</v>
      </c>
      <c r="C73" s="14"/>
    </row>
    <row r="74" customFormat="false" ht="15" hidden="false" customHeight="true" outlineLevel="0" collapsed="false">
      <c r="A74" s="12" t="s">
        <v>416</v>
      </c>
      <c r="B74" s="13" t="s">
        <v>385</v>
      </c>
      <c r="C74" s="14"/>
    </row>
    <row r="75" customFormat="false" ht="15" hidden="false" customHeight="true" outlineLevel="0" collapsed="false">
      <c r="A75" s="12" t="s">
        <v>417</v>
      </c>
      <c r="B75" s="13" t="s">
        <v>387</v>
      </c>
      <c r="C75" s="14"/>
    </row>
    <row r="76" customFormat="false" ht="15" hidden="false" customHeight="true" outlineLevel="0" collapsed="false">
      <c r="A76" s="9" t="s">
        <v>418</v>
      </c>
      <c r="B76" s="10" t="s">
        <v>419</v>
      </c>
      <c r="C76" s="11" t="n">
        <f aca="false">SUM(C77)</f>
        <v>0</v>
      </c>
    </row>
    <row r="77" customFormat="false" ht="15" hidden="false" customHeight="true" outlineLevel="0" collapsed="false">
      <c r="A77" s="12" t="s">
        <v>420</v>
      </c>
      <c r="B77" s="13" t="s">
        <v>379</v>
      </c>
      <c r="C77" s="14"/>
    </row>
    <row r="78" customFormat="false" ht="15" hidden="false" customHeight="true" outlineLevel="0" collapsed="false">
      <c r="A78" s="9" t="s">
        <v>421</v>
      </c>
      <c r="B78" s="10" t="s">
        <v>422</v>
      </c>
      <c r="C78" s="11" t="n">
        <f aca="false">SUM(C79)</f>
        <v>0</v>
      </c>
    </row>
    <row r="79" customFormat="false" ht="15" hidden="false" customHeight="true" outlineLevel="0" collapsed="false">
      <c r="A79" s="12" t="s">
        <v>423</v>
      </c>
      <c r="B79" s="13" t="s">
        <v>424</v>
      </c>
      <c r="C79" s="14"/>
    </row>
    <row r="80" customFormat="false" ht="15" hidden="false" customHeight="true" outlineLevel="0" collapsed="false">
      <c r="A80" s="9" t="s">
        <v>425</v>
      </c>
      <c r="B80" s="10" t="s">
        <v>426</v>
      </c>
      <c r="C80" s="11" t="n">
        <f aca="false">SUM(C81,C82,C83)</f>
        <v>0</v>
      </c>
    </row>
    <row r="81" customFormat="false" ht="15" hidden="false" customHeight="true" outlineLevel="0" collapsed="false">
      <c r="A81" s="12" t="s">
        <v>427</v>
      </c>
      <c r="B81" s="13" t="s">
        <v>428</v>
      </c>
      <c r="C81" s="14"/>
    </row>
    <row r="82" customFormat="false" ht="15" hidden="false" customHeight="true" outlineLevel="0" collapsed="false">
      <c r="A82" s="12" t="s">
        <v>429</v>
      </c>
      <c r="B82" s="13" t="s">
        <v>430</v>
      </c>
      <c r="C82" s="14"/>
    </row>
    <row r="83" customFormat="false" ht="15" hidden="false" customHeight="true" outlineLevel="0" collapsed="false">
      <c r="A83" s="12" t="s">
        <v>431</v>
      </c>
      <c r="B83" s="13" t="s">
        <v>432</v>
      </c>
      <c r="C83" s="14"/>
    </row>
    <row r="84" customFormat="false" ht="15" hidden="false" customHeight="true" outlineLevel="0" collapsed="false">
      <c r="A84" s="6" t="s">
        <v>433</v>
      </c>
      <c r="B84" s="7" t="s">
        <v>434</v>
      </c>
      <c r="C84" s="8" t="n">
        <f aca="false">SUM(C85,C88,C89,C90,C91,C92,C93)</f>
        <v>0</v>
      </c>
    </row>
    <row r="85" customFormat="false" ht="15" hidden="false" customHeight="true" outlineLevel="0" collapsed="false">
      <c r="A85" s="9" t="s">
        <v>435</v>
      </c>
      <c r="B85" s="10" t="s">
        <v>436</v>
      </c>
      <c r="C85" s="11" t="n">
        <f aca="false">SUM(C86,C87)</f>
        <v>0</v>
      </c>
    </row>
    <row r="86" customFormat="false" ht="15" hidden="false" customHeight="true" outlineLevel="0" collapsed="false">
      <c r="A86" s="12" t="s">
        <v>437</v>
      </c>
      <c r="B86" s="13" t="s">
        <v>438</v>
      </c>
      <c r="C86" s="14"/>
    </row>
    <row r="87" customFormat="false" ht="15" hidden="false" customHeight="true" outlineLevel="0" collapsed="false">
      <c r="A87" s="12" t="s">
        <v>439</v>
      </c>
      <c r="B87" s="13" t="s">
        <v>440</v>
      </c>
      <c r="C87" s="14"/>
    </row>
    <row r="88" customFormat="false" ht="15" hidden="false" customHeight="true" outlineLevel="0" collapsed="false">
      <c r="A88" s="12" t="s">
        <v>441</v>
      </c>
      <c r="B88" s="15" t="s">
        <v>442</v>
      </c>
      <c r="C88" s="14"/>
    </row>
    <row r="89" customFormat="false" ht="15" hidden="false" customHeight="true" outlineLevel="0" collapsed="false">
      <c r="A89" s="12" t="s">
        <v>443</v>
      </c>
      <c r="B89" s="15" t="s">
        <v>444</v>
      </c>
      <c r="C89" s="14"/>
    </row>
    <row r="90" customFormat="false" ht="15" hidden="false" customHeight="true" outlineLevel="0" collapsed="false">
      <c r="A90" s="12" t="s">
        <v>445</v>
      </c>
      <c r="B90" s="15" t="s">
        <v>446</v>
      </c>
      <c r="C90" s="14"/>
    </row>
    <row r="91" customFormat="false" ht="15" hidden="false" customHeight="true" outlineLevel="0" collapsed="false">
      <c r="A91" s="12" t="s">
        <v>447</v>
      </c>
      <c r="B91" s="15" t="s">
        <v>448</v>
      </c>
      <c r="C91" s="14"/>
    </row>
    <row r="92" customFormat="false" ht="15" hidden="false" customHeight="true" outlineLevel="0" collapsed="false">
      <c r="A92" s="12" t="s">
        <v>449</v>
      </c>
      <c r="B92" s="15" t="s">
        <v>450</v>
      </c>
      <c r="C92" s="14"/>
    </row>
    <row r="93" customFormat="false" ht="15" hidden="false" customHeight="true" outlineLevel="0" collapsed="false">
      <c r="A93" s="9" t="s">
        <v>451</v>
      </c>
      <c r="B93" s="10" t="s">
        <v>452</v>
      </c>
      <c r="C93" s="11" t="n">
        <f aca="false">SUM(C94,C95)</f>
        <v>0</v>
      </c>
    </row>
    <row r="94" customFormat="false" ht="15" hidden="false" customHeight="true" outlineLevel="0" collapsed="false">
      <c r="A94" s="12" t="s">
        <v>453</v>
      </c>
      <c r="B94" s="13" t="s">
        <v>454</v>
      </c>
      <c r="C94" s="14"/>
    </row>
    <row r="95" customFormat="false" ht="15" hidden="false" customHeight="true" outlineLevel="0" collapsed="false">
      <c r="A95" s="12" t="s">
        <v>455</v>
      </c>
      <c r="B95" s="13" t="s">
        <v>456</v>
      </c>
      <c r="C95" s="14"/>
    </row>
    <row r="96" customFormat="false" ht="15" hidden="false" customHeight="true" outlineLevel="0" collapsed="false">
      <c r="A96" s="6" t="s">
        <v>457</v>
      </c>
      <c r="B96" s="7" t="s">
        <v>458</v>
      </c>
      <c r="C96" s="8" t="n">
        <f aca="false">SUM(C97,C98,C99,C100,C101,C102,C103)</f>
        <v>0</v>
      </c>
    </row>
    <row r="97" customFormat="false" ht="15" hidden="false" customHeight="true" outlineLevel="0" collapsed="false">
      <c r="A97" s="12" t="s">
        <v>459</v>
      </c>
      <c r="B97" s="15" t="s">
        <v>460</v>
      </c>
      <c r="C97" s="14"/>
    </row>
    <row r="98" customFormat="false" ht="15" hidden="false" customHeight="true" outlineLevel="0" collapsed="false">
      <c r="A98" s="12" t="s">
        <v>461</v>
      </c>
      <c r="B98" s="15" t="s">
        <v>462</v>
      </c>
      <c r="C98" s="14"/>
    </row>
    <row r="99" customFormat="false" ht="15" hidden="false" customHeight="true" outlineLevel="0" collapsed="false">
      <c r="A99" s="12" t="s">
        <v>463</v>
      </c>
      <c r="B99" s="15" t="s">
        <v>464</v>
      </c>
      <c r="C99" s="14"/>
    </row>
    <row r="100" customFormat="false" ht="15" hidden="false" customHeight="true" outlineLevel="0" collapsed="false">
      <c r="A100" s="12" t="s">
        <v>465</v>
      </c>
      <c r="B100" s="15" t="s">
        <v>466</v>
      </c>
      <c r="C100" s="14"/>
    </row>
    <row r="101" customFormat="false" ht="15" hidden="false" customHeight="true" outlineLevel="0" collapsed="false">
      <c r="A101" s="12" t="s">
        <v>467</v>
      </c>
      <c r="B101" s="15" t="s">
        <v>468</v>
      </c>
      <c r="C101" s="14"/>
    </row>
    <row r="102" customFormat="false" ht="15" hidden="false" customHeight="true" outlineLevel="0" collapsed="false">
      <c r="A102" s="12" t="s">
        <v>469</v>
      </c>
      <c r="B102" s="15" t="s">
        <v>470</v>
      </c>
      <c r="C102" s="14"/>
    </row>
    <row r="103" customFormat="false" ht="15" hidden="false" customHeight="true" outlineLevel="0" collapsed="false">
      <c r="A103" s="12" t="s">
        <v>471</v>
      </c>
      <c r="B103" s="15" t="s">
        <v>472</v>
      </c>
      <c r="C103" s="14"/>
    </row>
    <row r="104" customFormat="false" ht="15" hidden="false" customHeight="true" outlineLevel="0" collapsed="false">
      <c r="A104" s="6" t="s">
        <v>473</v>
      </c>
      <c r="B104" s="7" t="s">
        <v>474</v>
      </c>
      <c r="C104" s="8" t="n">
        <f aca="false">SUM(C105,C108,C111,C114,C117)</f>
        <v>0</v>
      </c>
    </row>
    <row r="105" customFormat="false" ht="15" hidden="false" customHeight="true" outlineLevel="0" collapsed="false">
      <c r="A105" s="9" t="s">
        <v>475</v>
      </c>
      <c r="B105" s="10" t="s">
        <v>476</v>
      </c>
      <c r="C105" s="11" t="n">
        <f aca="false">SUM(C106,C107)</f>
        <v>0</v>
      </c>
    </row>
    <row r="106" customFormat="false" ht="15" hidden="false" customHeight="true" outlineLevel="0" collapsed="false">
      <c r="A106" s="12" t="s">
        <v>477</v>
      </c>
      <c r="B106" s="13" t="s">
        <v>478</v>
      </c>
      <c r="C106" s="14"/>
    </row>
    <row r="107" customFormat="false" ht="15" hidden="false" customHeight="true" outlineLevel="0" collapsed="false">
      <c r="A107" s="12" t="s">
        <v>479</v>
      </c>
      <c r="B107" s="13" t="s">
        <v>480</v>
      </c>
      <c r="C107" s="14"/>
    </row>
    <row r="108" customFormat="false" ht="15" hidden="false" customHeight="true" outlineLevel="0" collapsed="false">
      <c r="A108" s="9" t="s">
        <v>481</v>
      </c>
      <c r="B108" s="10" t="s">
        <v>482</v>
      </c>
      <c r="C108" s="11" t="n">
        <f aca="false">SUM(C109,C110)</f>
        <v>0</v>
      </c>
    </row>
    <row r="109" customFormat="false" ht="15" hidden="false" customHeight="true" outlineLevel="0" collapsed="false">
      <c r="A109" s="12" t="s">
        <v>483</v>
      </c>
      <c r="B109" s="13" t="s">
        <v>478</v>
      </c>
      <c r="C109" s="14"/>
    </row>
    <row r="110" customFormat="false" ht="15" hidden="false" customHeight="true" outlineLevel="0" collapsed="false">
      <c r="A110" s="12" t="s">
        <v>484</v>
      </c>
      <c r="B110" s="13" t="s">
        <v>480</v>
      </c>
      <c r="C110" s="14"/>
    </row>
    <row r="111" customFormat="false" ht="15" hidden="false" customHeight="true" outlineLevel="0" collapsed="false">
      <c r="A111" s="9" t="s">
        <v>485</v>
      </c>
      <c r="B111" s="10" t="s">
        <v>486</v>
      </c>
      <c r="C111" s="11" t="n">
        <f aca="false">SUM(C112,C113)</f>
        <v>0</v>
      </c>
    </row>
    <row r="112" customFormat="false" ht="15" hidden="false" customHeight="true" outlineLevel="0" collapsed="false">
      <c r="A112" s="12" t="s">
        <v>487</v>
      </c>
      <c r="B112" s="13" t="s">
        <v>478</v>
      </c>
      <c r="C112" s="14"/>
    </row>
    <row r="113" customFormat="false" ht="15" hidden="false" customHeight="true" outlineLevel="0" collapsed="false">
      <c r="A113" s="12" t="s">
        <v>488</v>
      </c>
      <c r="B113" s="13" t="s">
        <v>480</v>
      </c>
      <c r="C113" s="14"/>
    </row>
    <row r="114" customFormat="false" ht="15" hidden="false" customHeight="true" outlineLevel="0" collapsed="false">
      <c r="A114" s="9" t="s">
        <v>489</v>
      </c>
      <c r="B114" s="10" t="s">
        <v>490</v>
      </c>
      <c r="C114" s="11" t="n">
        <f aca="false">SUM(C115,C116)</f>
        <v>0</v>
      </c>
    </row>
    <row r="115" customFormat="false" ht="15" hidden="false" customHeight="true" outlineLevel="0" collapsed="false">
      <c r="A115" s="12" t="s">
        <v>491</v>
      </c>
      <c r="B115" s="13" t="s">
        <v>478</v>
      </c>
      <c r="C115" s="14"/>
    </row>
    <row r="116" customFormat="false" ht="15" hidden="false" customHeight="true" outlineLevel="0" collapsed="false">
      <c r="A116" s="12" t="s">
        <v>492</v>
      </c>
      <c r="B116" s="13" t="s">
        <v>480</v>
      </c>
      <c r="C116" s="14"/>
    </row>
    <row r="117" customFormat="false" ht="15" hidden="false" customHeight="true" outlineLevel="0" collapsed="false">
      <c r="A117" s="12" t="s">
        <v>493</v>
      </c>
      <c r="B117" s="15" t="s">
        <v>494</v>
      </c>
      <c r="C117" s="14"/>
    </row>
    <row r="118" customFormat="false" ht="15" hidden="false" customHeight="true" outlineLevel="0" collapsed="false">
      <c r="A118" s="6" t="s">
        <v>495</v>
      </c>
      <c r="B118" s="7" t="s">
        <v>496</v>
      </c>
      <c r="C118" s="8" t="n">
        <f aca="false">SUM(C119,C125,C141,C145,C149,C179,C181,C183,C216)</f>
        <v>0</v>
      </c>
    </row>
    <row r="119" customFormat="false" ht="15" hidden="false" customHeight="true" outlineLevel="0" collapsed="false">
      <c r="A119" s="9" t="s">
        <v>497</v>
      </c>
      <c r="B119" s="10" t="s">
        <v>498</v>
      </c>
      <c r="C119" s="11" t="n">
        <f aca="false">SUM(C120,C121,C122,C123,C124)</f>
        <v>0</v>
      </c>
    </row>
    <row r="120" customFormat="false" ht="15" hidden="false" customHeight="true" outlineLevel="0" collapsed="false">
      <c r="A120" s="12" t="s">
        <v>499</v>
      </c>
      <c r="B120" s="13" t="s">
        <v>500</v>
      </c>
      <c r="C120" s="14"/>
    </row>
    <row r="121" customFormat="false" ht="15" hidden="false" customHeight="true" outlineLevel="0" collapsed="false">
      <c r="A121" s="12" t="s">
        <v>501</v>
      </c>
      <c r="B121" s="13" t="s">
        <v>502</v>
      </c>
      <c r="C121" s="14"/>
    </row>
    <row r="122" customFormat="false" ht="15" hidden="false" customHeight="true" outlineLevel="0" collapsed="false">
      <c r="A122" s="12" t="s">
        <v>503</v>
      </c>
      <c r="B122" s="13" t="s">
        <v>504</v>
      </c>
      <c r="C122" s="14"/>
    </row>
    <row r="123" customFormat="false" ht="15" hidden="false" customHeight="true" outlineLevel="0" collapsed="false">
      <c r="A123" s="12" t="s">
        <v>505</v>
      </c>
      <c r="B123" s="13" t="s">
        <v>506</v>
      </c>
      <c r="C123" s="14"/>
    </row>
    <row r="124" customFormat="false" ht="15" hidden="false" customHeight="true" outlineLevel="0" collapsed="false">
      <c r="A124" s="12" t="s">
        <v>507</v>
      </c>
      <c r="B124" s="13" t="s">
        <v>508</v>
      </c>
      <c r="C124" s="14"/>
    </row>
    <row r="125" customFormat="false" ht="15" hidden="false" customHeight="true" outlineLevel="0" collapsed="false">
      <c r="A125" s="9" t="s">
        <v>509</v>
      </c>
      <c r="B125" s="10" t="s">
        <v>510</v>
      </c>
      <c r="C125" s="11" t="n">
        <f aca="false">SUM(C126,C127,C128,C129,C130,C137,C138,C139,C140)</f>
        <v>0</v>
      </c>
    </row>
    <row r="126" customFormat="false" ht="15" hidden="false" customHeight="true" outlineLevel="0" collapsed="false">
      <c r="A126" s="12" t="s">
        <v>511</v>
      </c>
      <c r="B126" s="13" t="s">
        <v>512</v>
      </c>
      <c r="C126" s="14"/>
    </row>
    <row r="127" customFormat="false" ht="15" hidden="false" customHeight="true" outlineLevel="0" collapsed="false">
      <c r="A127" s="12" t="s">
        <v>513</v>
      </c>
      <c r="B127" s="13" t="s">
        <v>514</v>
      </c>
      <c r="C127" s="14"/>
    </row>
    <row r="128" customFormat="false" ht="15" hidden="false" customHeight="true" outlineLevel="0" collapsed="false">
      <c r="A128" s="12" t="s">
        <v>515</v>
      </c>
      <c r="B128" s="13" t="s">
        <v>516</v>
      </c>
      <c r="C128" s="14"/>
    </row>
    <row r="129" customFormat="false" ht="15" hidden="false" customHeight="true" outlineLevel="0" collapsed="false">
      <c r="A129" s="12" t="s">
        <v>517</v>
      </c>
      <c r="B129" s="13" t="s">
        <v>518</v>
      </c>
      <c r="C129" s="14"/>
    </row>
    <row r="130" customFormat="false" ht="15" hidden="false" customHeight="true" outlineLevel="0" collapsed="false">
      <c r="A130" s="9" t="s">
        <v>519</v>
      </c>
      <c r="B130" s="21" t="s">
        <v>520</v>
      </c>
      <c r="C130" s="11" t="n">
        <f aca="false">SUM(C131,C132,C133,C134,C135,C136)</f>
        <v>0</v>
      </c>
    </row>
    <row r="131" customFormat="false" ht="15" hidden="false" customHeight="true" outlineLevel="0" collapsed="false">
      <c r="A131" s="12" t="s">
        <v>521</v>
      </c>
      <c r="B131" s="22" t="s">
        <v>522</v>
      </c>
      <c r="C131" s="14"/>
    </row>
    <row r="132" customFormat="false" ht="15" hidden="false" customHeight="true" outlineLevel="0" collapsed="false">
      <c r="A132" s="12" t="s">
        <v>523</v>
      </c>
      <c r="B132" s="22" t="s">
        <v>524</v>
      </c>
      <c r="C132" s="14"/>
    </row>
    <row r="133" customFormat="false" ht="15" hidden="false" customHeight="true" outlineLevel="0" collapsed="false">
      <c r="A133" s="12" t="s">
        <v>525</v>
      </c>
      <c r="B133" s="22" t="s">
        <v>526</v>
      </c>
      <c r="C133" s="14"/>
    </row>
    <row r="134" customFormat="false" ht="15" hidden="false" customHeight="true" outlineLevel="0" collapsed="false">
      <c r="A134" s="12" t="s">
        <v>527</v>
      </c>
      <c r="B134" s="22" t="s">
        <v>528</v>
      </c>
      <c r="C134" s="14"/>
    </row>
    <row r="135" customFormat="false" ht="15" hidden="false" customHeight="true" outlineLevel="0" collapsed="false">
      <c r="A135" s="12" t="s">
        <v>529</v>
      </c>
      <c r="B135" s="22" t="s">
        <v>530</v>
      </c>
      <c r="C135" s="14"/>
    </row>
    <row r="136" customFormat="false" ht="15" hidden="false" customHeight="true" outlineLevel="0" collapsed="false">
      <c r="A136" s="12" t="s">
        <v>531</v>
      </c>
      <c r="B136" s="22" t="s">
        <v>532</v>
      </c>
      <c r="C136" s="14"/>
    </row>
    <row r="137" customFormat="false" ht="15" hidden="false" customHeight="true" outlineLevel="0" collapsed="false">
      <c r="A137" s="12" t="s">
        <v>533</v>
      </c>
      <c r="B137" s="13" t="s">
        <v>534</v>
      </c>
      <c r="C137" s="14"/>
    </row>
    <row r="138" customFormat="false" ht="15" hidden="false" customHeight="true" outlineLevel="0" collapsed="false">
      <c r="A138" s="12" t="s">
        <v>535</v>
      </c>
      <c r="B138" s="13" t="s">
        <v>536</v>
      </c>
      <c r="C138" s="14"/>
    </row>
    <row r="139" customFormat="false" ht="15" hidden="false" customHeight="true" outlineLevel="0" collapsed="false">
      <c r="A139" s="12" t="s">
        <v>537</v>
      </c>
      <c r="B139" s="13" t="s">
        <v>538</v>
      </c>
      <c r="C139" s="14"/>
    </row>
    <row r="140" customFormat="false" ht="15" hidden="false" customHeight="true" outlineLevel="0" collapsed="false">
      <c r="A140" s="12" t="s">
        <v>539</v>
      </c>
      <c r="B140" s="13" t="s">
        <v>540</v>
      </c>
      <c r="C140" s="14"/>
    </row>
    <row r="141" customFormat="false" ht="15" hidden="false" customHeight="true" outlineLevel="0" collapsed="false">
      <c r="A141" s="9" t="s">
        <v>541</v>
      </c>
      <c r="B141" s="10" t="s">
        <v>542</v>
      </c>
      <c r="C141" s="11" t="n">
        <f aca="false">SUM(C142,C143,C144)</f>
        <v>0</v>
      </c>
    </row>
    <row r="142" customFormat="false" ht="15" hidden="false" customHeight="true" outlineLevel="0" collapsed="false">
      <c r="A142" s="12" t="s">
        <v>543</v>
      </c>
      <c r="B142" s="13" t="s">
        <v>544</v>
      </c>
      <c r="C142" s="14"/>
    </row>
    <row r="143" customFormat="false" ht="15" hidden="false" customHeight="true" outlineLevel="0" collapsed="false">
      <c r="A143" s="12" t="s">
        <v>545</v>
      </c>
      <c r="B143" s="13" t="s">
        <v>546</v>
      </c>
      <c r="C143" s="14"/>
    </row>
    <row r="144" customFormat="false" ht="15" hidden="false" customHeight="true" outlineLevel="0" collapsed="false">
      <c r="A144" s="12" t="s">
        <v>547</v>
      </c>
      <c r="B144" s="13" t="s">
        <v>548</v>
      </c>
      <c r="C144" s="14"/>
    </row>
    <row r="145" customFormat="false" ht="15" hidden="false" customHeight="true" outlineLevel="0" collapsed="false">
      <c r="A145" s="9" t="s">
        <v>549</v>
      </c>
      <c r="B145" s="10" t="s">
        <v>550</v>
      </c>
      <c r="C145" s="11" t="n">
        <f aca="false">SUM(C146,C147,C148)</f>
        <v>0</v>
      </c>
    </row>
    <row r="146" customFormat="false" ht="15" hidden="false" customHeight="true" outlineLevel="0" collapsed="false">
      <c r="A146" s="12" t="s">
        <v>551</v>
      </c>
      <c r="B146" s="13" t="s">
        <v>552</v>
      </c>
      <c r="C146" s="14"/>
    </row>
    <row r="147" customFormat="false" ht="15" hidden="false" customHeight="true" outlineLevel="0" collapsed="false">
      <c r="A147" s="12" t="s">
        <v>553</v>
      </c>
      <c r="B147" s="13" t="s">
        <v>554</v>
      </c>
      <c r="C147" s="14"/>
    </row>
    <row r="148" customFormat="false" ht="15" hidden="false" customHeight="true" outlineLevel="0" collapsed="false">
      <c r="A148" s="12" t="s">
        <v>555</v>
      </c>
      <c r="B148" s="13" t="s">
        <v>556</v>
      </c>
      <c r="C148" s="14"/>
    </row>
    <row r="149" customFormat="false" ht="15" hidden="false" customHeight="true" outlineLevel="0" collapsed="false">
      <c r="A149" s="9" t="s">
        <v>557</v>
      </c>
      <c r="B149" s="10" t="s">
        <v>558</v>
      </c>
      <c r="C149" s="11" t="n">
        <f aca="false">SUM(C150,C154,C158,C163,C168,C173)</f>
        <v>0</v>
      </c>
    </row>
    <row r="150" customFormat="false" ht="15" hidden="false" customHeight="true" outlineLevel="0" collapsed="false">
      <c r="A150" s="9" t="s">
        <v>559</v>
      </c>
      <c r="B150" s="21" t="s">
        <v>560</v>
      </c>
      <c r="C150" s="11" t="n">
        <f aca="false">SUM(C151,C152,C153)</f>
        <v>0</v>
      </c>
    </row>
    <row r="151" customFormat="false" ht="15" hidden="false" customHeight="true" outlineLevel="0" collapsed="false">
      <c r="A151" s="12" t="s">
        <v>561</v>
      </c>
      <c r="B151" s="22" t="s">
        <v>562</v>
      </c>
      <c r="C151" s="14"/>
    </row>
    <row r="152" customFormat="false" ht="15" hidden="false" customHeight="true" outlineLevel="0" collapsed="false">
      <c r="A152" s="12" t="s">
        <v>563</v>
      </c>
      <c r="B152" s="22" t="s">
        <v>564</v>
      </c>
      <c r="C152" s="14"/>
    </row>
    <row r="153" customFormat="false" ht="15" hidden="false" customHeight="true" outlineLevel="0" collapsed="false">
      <c r="A153" s="12" t="s">
        <v>565</v>
      </c>
      <c r="B153" s="22" t="s">
        <v>566</v>
      </c>
      <c r="C153" s="14"/>
    </row>
    <row r="154" customFormat="false" ht="15" hidden="false" customHeight="true" outlineLevel="0" collapsed="false">
      <c r="A154" s="9" t="s">
        <v>567</v>
      </c>
      <c r="B154" s="21" t="s">
        <v>568</v>
      </c>
      <c r="C154" s="11" t="n">
        <f aca="false">SUM(C155,C156,C157)</f>
        <v>0</v>
      </c>
    </row>
    <row r="155" customFormat="false" ht="15" hidden="false" customHeight="true" outlineLevel="0" collapsed="false">
      <c r="A155" s="12" t="s">
        <v>569</v>
      </c>
      <c r="B155" s="22" t="s">
        <v>570</v>
      </c>
      <c r="C155" s="14"/>
    </row>
    <row r="156" customFormat="false" ht="15" hidden="false" customHeight="true" outlineLevel="0" collapsed="false">
      <c r="A156" s="12" t="s">
        <v>571</v>
      </c>
      <c r="B156" s="22" t="s">
        <v>548</v>
      </c>
      <c r="C156" s="14"/>
    </row>
    <row r="157" customFormat="false" ht="15" hidden="false" customHeight="true" outlineLevel="0" collapsed="false">
      <c r="A157" s="12" t="s">
        <v>572</v>
      </c>
      <c r="B157" s="22" t="s">
        <v>566</v>
      </c>
      <c r="C157" s="14"/>
    </row>
    <row r="158" customFormat="false" ht="15" hidden="false" customHeight="true" outlineLevel="0" collapsed="false">
      <c r="A158" s="9" t="s">
        <v>573</v>
      </c>
      <c r="B158" s="21" t="s">
        <v>574</v>
      </c>
      <c r="C158" s="11" t="n">
        <f aca="false">SUM(C159,C160,C161,C162)</f>
        <v>0</v>
      </c>
    </row>
    <row r="159" customFormat="false" ht="15" hidden="false" customHeight="true" outlineLevel="0" collapsed="false">
      <c r="A159" s="12" t="s">
        <v>575</v>
      </c>
      <c r="B159" s="22" t="s">
        <v>576</v>
      </c>
      <c r="C159" s="14"/>
    </row>
    <row r="160" customFormat="false" ht="15" hidden="false" customHeight="true" outlineLevel="0" collapsed="false">
      <c r="A160" s="12" t="s">
        <v>577</v>
      </c>
      <c r="B160" s="22" t="s">
        <v>578</v>
      </c>
      <c r="C160" s="14"/>
    </row>
    <row r="161" customFormat="false" ht="15" hidden="false" customHeight="true" outlineLevel="0" collapsed="false">
      <c r="A161" s="12" t="s">
        <v>579</v>
      </c>
      <c r="B161" s="22" t="s">
        <v>566</v>
      </c>
      <c r="C161" s="14"/>
    </row>
    <row r="162" customFormat="false" ht="15" hidden="false" customHeight="true" outlineLevel="0" collapsed="false">
      <c r="A162" s="12" t="s">
        <v>580</v>
      </c>
      <c r="B162" s="22" t="s">
        <v>581</v>
      </c>
      <c r="C162" s="14"/>
    </row>
    <row r="163" customFormat="false" ht="15" hidden="false" customHeight="true" outlineLevel="0" collapsed="false">
      <c r="A163" s="9" t="s">
        <v>582</v>
      </c>
      <c r="B163" s="21" t="s">
        <v>583</v>
      </c>
      <c r="C163" s="11" t="n">
        <f aca="false">SUM(C164,C165,C166,C167)</f>
        <v>0</v>
      </c>
    </row>
    <row r="164" customFormat="false" ht="15" hidden="false" customHeight="true" outlineLevel="0" collapsed="false">
      <c r="A164" s="12" t="s">
        <v>584</v>
      </c>
      <c r="B164" s="22" t="s">
        <v>576</v>
      </c>
      <c r="C164" s="14"/>
    </row>
    <row r="165" customFormat="false" ht="15" hidden="false" customHeight="true" outlineLevel="0" collapsed="false">
      <c r="A165" s="12" t="s">
        <v>585</v>
      </c>
      <c r="B165" s="22" t="s">
        <v>578</v>
      </c>
      <c r="C165" s="14"/>
    </row>
    <row r="166" customFormat="false" ht="15" hidden="false" customHeight="true" outlineLevel="0" collapsed="false">
      <c r="A166" s="12" t="s">
        <v>586</v>
      </c>
      <c r="B166" s="22" t="s">
        <v>587</v>
      </c>
      <c r="C166" s="14"/>
    </row>
    <row r="167" customFormat="false" ht="15" hidden="false" customHeight="true" outlineLevel="0" collapsed="false">
      <c r="A167" s="12" t="s">
        <v>588</v>
      </c>
      <c r="B167" s="22" t="s">
        <v>581</v>
      </c>
      <c r="C167" s="14"/>
    </row>
    <row r="168" customFormat="false" ht="15" hidden="false" customHeight="true" outlineLevel="0" collapsed="false">
      <c r="A168" s="9" t="s">
        <v>589</v>
      </c>
      <c r="B168" s="21" t="s">
        <v>590</v>
      </c>
      <c r="C168" s="11" t="n">
        <f aca="false">SUM(C169,C170,C171,C172)</f>
        <v>0</v>
      </c>
    </row>
    <row r="169" customFormat="false" ht="15" hidden="false" customHeight="true" outlineLevel="0" collapsed="false">
      <c r="A169" s="12" t="s">
        <v>591</v>
      </c>
      <c r="B169" s="22" t="s">
        <v>576</v>
      </c>
      <c r="C169" s="14"/>
    </row>
    <row r="170" customFormat="false" ht="15" hidden="false" customHeight="true" outlineLevel="0" collapsed="false">
      <c r="A170" s="12" t="s">
        <v>592</v>
      </c>
      <c r="B170" s="22" t="s">
        <v>578</v>
      </c>
      <c r="C170" s="14"/>
    </row>
    <row r="171" customFormat="false" ht="15" hidden="false" customHeight="true" outlineLevel="0" collapsed="false">
      <c r="A171" s="12" t="s">
        <v>593</v>
      </c>
      <c r="B171" s="22" t="s">
        <v>587</v>
      </c>
      <c r="C171" s="14"/>
    </row>
    <row r="172" customFormat="false" ht="15" hidden="false" customHeight="true" outlineLevel="0" collapsed="false">
      <c r="A172" s="12" t="s">
        <v>594</v>
      </c>
      <c r="B172" s="22" t="s">
        <v>581</v>
      </c>
      <c r="C172" s="14"/>
    </row>
    <row r="173" customFormat="false" ht="15" hidden="false" customHeight="true" outlineLevel="0" collapsed="false">
      <c r="A173" s="9" t="s">
        <v>595</v>
      </c>
      <c r="B173" s="21" t="s">
        <v>596</v>
      </c>
      <c r="C173" s="11" t="n">
        <f aca="false">SUM(C174,C175,C176,C177,C178)</f>
        <v>0</v>
      </c>
    </row>
    <row r="174" customFormat="false" ht="15" hidden="false" customHeight="true" outlineLevel="0" collapsed="false">
      <c r="A174" s="12" t="s">
        <v>597</v>
      </c>
      <c r="B174" s="22" t="s">
        <v>576</v>
      </c>
      <c r="C174" s="14"/>
    </row>
    <row r="175" customFormat="false" ht="15" hidden="false" customHeight="true" outlineLevel="0" collapsed="false">
      <c r="A175" s="12" t="s">
        <v>598</v>
      </c>
      <c r="B175" s="22" t="s">
        <v>578</v>
      </c>
      <c r="C175" s="14"/>
    </row>
    <row r="176" customFormat="false" ht="15" hidden="false" customHeight="true" outlineLevel="0" collapsed="false">
      <c r="A176" s="12" t="s">
        <v>599</v>
      </c>
      <c r="B176" s="22" t="s">
        <v>600</v>
      </c>
      <c r="C176" s="14"/>
    </row>
    <row r="177" customFormat="false" ht="15" hidden="false" customHeight="true" outlineLevel="0" collapsed="false">
      <c r="A177" s="12" t="s">
        <v>601</v>
      </c>
      <c r="B177" s="22" t="s">
        <v>602</v>
      </c>
      <c r="C177" s="14"/>
    </row>
    <row r="178" customFormat="false" ht="15" hidden="false" customHeight="true" outlineLevel="0" collapsed="false">
      <c r="A178" s="12" t="s">
        <v>603</v>
      </c>
      <c r="B178" s="22" t="s">
        <v>581</v>
      </c>
      <c r="C178" s="14"/>
    </row>
    <row r="179" customFormat="false" ht="15" hidden="false" customHeight="true" outlineLevel="0" collapsed="false">
      <c r="A179" s="9" t="s">
        <v>604</v>
      </c>
      <c r="B179" s="10" t="s">
        <v>605</v>
      </c>
      <c r="C179" s="11" t="n">
        <f aca="false">SUM(C180)</f>
        <v>0</v>
      </c>
    </row>
    <row r="180" customFormat="false" ht="15" hidden="false" customHeight="true" outlineLevel="0" collapsed="false">
      <c r="A180" s="12" t="s">
        <v>606</v>
      </c>
      <c r="B180" s="13" t="s">
        <v>607</v>
      </c>
      <c r="C180" s="14"/>
    </row>
    <row r="181" customFormat="false" ht="15" hidden="false" customHeight="true" outlineLevel="0" collapsed="false">
      <c r="A181" s="9" t="s">
        <v>608</v>
      </c>
      <c r="B181" s="10" t="s">
        <v>609</v>
      </c>
      <c r="C181" s="11" t="n">
        <f aca="false">SUM(C182)</f>
        <v>0</v>
      </c>
    </row>
    <row r="182" customFormat="false" ht="15" hidden="false" customHeight="true" outlineLevel="0" collapsed="false">
      <c r="A182" s="12" t="s">
        <v>610</v>
      </c>
      <c r="B182" s="13" t="s">
        <v>611</v>
      </c>
      <c r="C182" s="14"/>
    </row>
    <row r="183" customFormat="false" ht="15" hidden="false" customHeight="true" outlineLevel="0" collapsed="false">
      <c r="A183" s="9" t="s">
        <v>612</v>
      </c>
      <c r="B183" s="10" t="s">
        <v>613</v>
      </c>
      <c r="C183" s="11" t="n">
        <f aca="false">SUM(C184,C188,C192,C196,C200,C204,C210,C213)</f>
        <v>0</v>
      </c>
    </row>
    <row r="184" customFormat="false" ht="15" hidden="false" customHeight="true" outlineLevel="0" collapsed="false">
      <c r="A184" s="9" t="s">
        <v>614</v>
      </c>
      <c r="B184" s="21" t="s">
        <v>615</v>
      </c>
      <c r="C184" s="11" t="n">
        <f aca="false">SUM(C185,C186,C187)</f>
        <v>0</v>
      </c>
    </row>
    <row r="185" customFormat="false" ht="15" hidden="false" customHeight="true" outlineLevel="0" collapsed="false">
      <c r="A185" s="12" t="s">
        <v>616</v>
      </c>
      <c r="B185" s="22" t="s">
        <v>617</v>
      </c>
      <c r="C185" s="14"/>
    </row>
    <row r="186" customFormat="false" ht="15" hidden="false" customHeight="true" outlineLevel="0" collapsed="false">
      <c r="A186" s="12" t="s">
        <v>618</v>
      </c>
      <c r="B186" s="22" t="s">
        <v>602</v>
      </c>
      <c r="C186" s="14"/>
    </row>
    <row r="187" customFormat="false" ht="15" hidden="false" customHeight="true" outlineLevel="0" collapsed="false">
      <c r="A187" s="12" t="s">
        <v>619</v>
      </c>
      <c r="B187" s="22" t="s">
        <v>620</v>
      </c>
      <c r="C187" s="14"/>
    </row>
    <row r="188" customFormat="false" ht="15" hidden="false" customHeight="true" outlineLevel="0" collapsed="false">
      <c r="A188" s="9" t="s">
        <v>621</v>
      </c>
      <c r="B188" s="21" t="s">
        <v>622</v>
      </c>
      <c r="C188" s="11" t="n">
        <f aca="false">SUM(C189,C190,C191)</f>
        <v>0</v>
      </c>
    </row>
    <row r="189" customFormat="false" ht="15" hidden="false" customHeight="true" outlineLevel="0" collapsed="false">
      <c r="A189" s="12" t="s">
        <v>623</v>
      </c>
      <c r="B189" s="22" t="s">
        <v>617</v>
      </c>
      <c r="C189" s="14"/>
    </row>
    <row r="190" customFormat="false" ht="15" hidden="false" customHeight="true" outlineLevel="0" collapsed="false">
      <c r="A190" s="12" t="s">
        <v>624</v>
      </c>
      <c r="B190" s="22" t="s">
        <v>602</v>
      </c>
      <c r="C190" s="14"/>
    </row>
    <row r="191" customFormat="false" ht="15" hidden="false" customHeight="true" outlineLevel="0" collapsed="false">
      <c r="A191" s="12" t="s">
        <v>625</v>
      </c>
      <c r="B191" s="22" t="s">
        <v>620</v>
      </c>
      <c r="C191" s="14"/>
    </row>
    <row r="192" customFormat="false" ht="15" hidden="false" customHeight="true" outlineLevel="0" collapsed="false">
      <c r="A192" s="9" t="s">
        <v>626</v>
      </c>
      <c r="B192" s="21" t="s">
        <v>627</v>
      </c>
      <c r="C192" s="11" t="n">
        <f aca="false">SUM(C193,C194,C195)</f>
        <v>0</v>
      </c>
    </row>
    <row r="193" customFormat="false" ht="15" hidden="false" customHeight="true" outlineLevel="0" collapsed="false">
      <c r="A193" s="12" t="s">
        <v>628</v>
      </c>
      <c r="B193" s="22" t="s">
        <v>617</v>
      </c>
      <c r="C193" s="14"/>
    </row>
    <row r="194" customFormat="false" ht="15" hidden="false" customHeight="true" outlineLevel="0" collapsed="false">
      <c r="A194" s="12" t="s">
        <v>629</v>
      </c>
      <c r="B194" s="22" t="s">
        <v>602</v>
      </c>
      <c r="C194" s="14"/>
    </row>
    <row r="195" customFormat="false" ht="15" hidden="false" customHeight="true" outlineLevel="0" collapsed="false">
      <c r="A195" s="12" t="s">
        <v>630</v>
      </c>
      <c r="B195" s="22" t="s">
        <v>620</v>
      </c>
      <c r="C195" s="14"/>
    </row>
    <row r="196" customFormat="false" ht="15" hidden="false" customHeight="true" outlineLevel="0" collapsed="false">
      <c r="A196" s="9" t="s">
        <v>631</v>
      </c>
      <c r="B196" s="21" t="s">
        <v>632</v>
      </c>
      <c r="C196" s="11" t="n">
        <f aca="false">SUM(C197,C198,C199)</f>
        <v>0</v>
      </c>
    </row>
    <row r="197" customFormat="false" ht="15" hidden="false" customHeight="true" outlineLevel="0" collapsed="false">
      <c r="A197" s="12" t="s">
        <v>633</v>
      </c>
      <c r="B197" s="22" t="s">
        <v>617</v>
      </c>
      <c r="C197" s="14"/>
    </row>
    <row r="198" customFormat="false" ht="15" hidden="false" customHeight="true" outlineLevel="0" collapsed="false">
      <c r="A198" s="12" t="s">
        <v>634</v>
      </c>
      <c r="B198" s="22" t="s">
        <v>602</v>
      </c>
      <c r="C198" s="14"/>
    </row>
    <row r="199" customFormat="false" ht="15" hidden="false" customHeight="true" outlineLevel="0" collapsed="false">
      <c r="A199" s="12" t="s">
        <v>635</v>
      </c>
      <c r="B199" s="22" t="s">
        <v>620</v>
      </c>
      <c r="C199" s="14"/>
    </row>
    <row r="200" customFormat="false" ht="15" hidden="false" customHeight="true" outlineLevel="0" collapsed="false">
      <c r="A200" s="9" t="s">
        <v>636</v>
      </c>
      <c r="B200" s="21" t="s">
        <v>637</v>
      </c>
      <c r="C200" s="11" t="n">
        <f aca="false">SUM(C201,C202,C203)</f>
        <v>0</v>
      </c>
    </row>
    <row r="201" customFormat="false" ht="15" hidden="false" customHeight="true" outlineLevel="0" collapsed="false">
      <c r="A201" s="12" t="s">
        <v>638</v>
      </c>
      <c r="B201" s="22" t="s">
        <v>617</v>
      </c>
      <c r="C201" s="14"/>
    </row>
    <row r="202" customFormat="false" ht="15" hidden="false" customHeight="true" outlineLevel="0" collapsed="false">
      <c r="A202" s="12" t="s">
        <v>639</v>
      </c>
      <c r="B202" s="22" t="s">
        <v>602</v>
      </c>
      <c r="C202" s="14"/>
    </row>
    <row r="203" customFormat="false" ht="15" hidden="false" customHeight="true" outlineLevel="0" collapsed="false">
      <c r="A203" s="12" t="s">
        <v>640</v>
      </c>
      <c r="B203" s="22" t="s">
        <v>620</v>
      </c>
      <c r="C203" s="14"/>
    </row>
    <row r="204" customFormat="false" ht="15" hidden="false" customHeight="true" outlineLevel="0" collapsed="false">
      <c r="A204" s="9" t="s">
        <v>641</v>
      </c>
      <c r="B204" s="21" t="s">
        <v>642</v>
      </c>
      <c r="C204" s="11" t="n">
        <f aca="false">SUM(C205,C206,C207,C208,C209)</f>
        <v>0</v>
      </c>
    </row>
    <row r="205" customFormat="false" ht="15" hidden="false" customHeight="true" outlineLevel="0" collapsed="false">
      <c r="A205" s="12" t="s">
        <v>643</v>
      </c>
      <c r="B205" s="22" t="s">
        <v>644</v>
      </c>
      <c r="C205" s="14"/>
    </row>
    <row r="206" customFormat="false" ht="15" hidden="false" customHeight="true" outlineLevel="0" collapsed="false">
      <c r="A206" s="12" t="s">
        <v>645</v>
      </c>
      <c r="B206" s="22" t="s">
        <v>617</v>
      </c>
      <c r="C206" s="14"/>
    </row>
    <row r="207" customFormat="false" ht="15" hidden="false" customHeight="true" outlineLevel="0" collapsed="false">
      <c r="A207" s="12" t="s">
        <v>646</v>
      </c>
      <c r="B207" s="22" t="s">
        <v>647</v>
      </c>
      <c r="C207" s="14"/>
    </row>
    <row r="208" customFormat="false" ht="15" hidden="false" customHeight="true" outlineLevel="0" collapsed="false">
      <c r="A208" s="12" t="s">
        <v>648</v>
      </c>
      <c r="B208" s="22" t="s">
        <v>556</v>
      </c>
      <c r="C208" s="14"/>
    </row>
    <row r="209" customFormat="false" ht="15" hidden="false" customHeight="true" outlineLevel="0" collapsed="false">
      <c r="A209" s="12" t="s">
        <v>649</v>
      </c>
      <c r="B209" s="22" t="s">
        <v>650</v>
      </c>
      <c r="C209" s="14"/>
    </row>
    <row r="210" customFormat="false" ht="15" hidden="false" customHeight="true" outlineLevel="0" collapsed="false">
      <c r="A210" s="9" t="s">
        <v>651</v>
      </c>
      <c r="B210" s="21" t="s">
        <v>652</v>
      </c>
      <c r="C210" s="11" t="n">
        <f aca="false">SUM(C211,C212)</f>
        <v>0</v>
      </c>
    </row>
    <row r="211" customFormat="false" ht="15" hidden="false" customHeight="true" outlineLevel="0" collapsed="false">
      <c r="A211" s="12" t="s">
        <v>653</v>
      </c>
      <c r="B211" s="22" t="s">
        <v>647</v>
      </c>
      <c r="C211" s="14"/>
    </row>
    <row r="212" customFormat="false" ht="15" hidden="false" customHeight="true" outlineLevel="0" collapsed="false">
      <c r="A212" s="12" t="s">
        <v>654</v>
      </c>
      <c r="B212" s="22" t="s">
        <v>650</v>
      </c>
      <c r="C212" s="14"/>
    </row>
    <row r="213" customFormat="false" ht="15" hidden="false" customHeight="true" outlineLevel="0" collapsed="false">
      <c r="A213" s="9" t="s">
        <v>655</v>
      </c>
      <c r="B213" s="21" t="s">
        <v>656</v>
      </c>
      <c r="C213" s="11" t="n">
        <f aca="false">SUM(C214,C215)</f>
        <v>0</v>
      </c>
    </row>
    <row r="214" customFormat="false" ht="15" hidden="false" customHeight="true" outlineLevel="0" collapsed="false">
      <c r="A214" s="12" t="s">
        <v>657</v>
      </c>
      <c r="B214" s="22" t="s">
        <v>617</v>
      </c>
      <c r="C214" s="14"/>
    </row>
    <row r="215" customFormat="false" ht="15" hidden="false" customHeight="true" outlineLevel="0" collapsed="false">
      <c r="A215" s="12" t="s">
        <v>658</v>
      </c>
      <c r="B215" s="22" t="s">
        <v>602</v>
      </c>
      <c r="C215" s="14"/>
    </row>
    <row r="216" customFormat="false" ht="15" hidden="false" customHeight="true" outlineLevel="0" collapsed="false">
      <c r="A216" s="9" t="s">
        <v>659</v>
      </c>
      <c r="B216" s="10" t="s">
        <v>660</v>
      </c>
      <c r="C216" s="11" t="n">
        <f aca="false">SUM(C217,C218,C219,C220,C221,C222)</f>
        <v>0</v>
      </c>
    </row>
    <row r="217" customFormat="false" ht="15" hidden="false" customHeight="true" outlineLevel="0" collapsed="false">
      <c r="A217" s="12" t="s">
        <v>661</v>
      </c>
      <c r="B217" s="13" t="s">
        <v>662</v>
      </c>
      <c r="C217" s="14"/>
    </row>
    <row r="218" customFormat="false" ht="15" hidden="false" customHeight="true" outlineLevel="0" collapsed="false">
      <c r="A218" s="12" t="s">
        <v>663</v>
      </c>
      <c r="B218" s="13" t="s">
        <v>664</v>
      </c>
      <c r="C218" s="14"/>
    </row>
    <row r="219" customFormat="false" ht="15" hidden="false" customHeight="true" outlineLevel="0" collapsed="false">
      <c r="A219" s="12" t="s">
        <v>665</v>
      </c>
      <c r="B219" s="13" t="s">
        <v>666</v>
      </c>
      <c r="C219" s="14"/>
    </row>
    <row r="220" customFormat="false" ht="15" hidden="false" customHeight="true" outlineLevel="0" collapsed="false">
      <c r="A220" s="12" t="s">
        <v>667</v>
      </c>
      <c r="B220" s="13" t="s">
        <v>668</v>
      </c>
      <c r="C220" s="14"/>
    </row>
    <row r="221" customFormat="false" ht="15" hidden="false" customHeight="true" outlineLevel="0" collapsed="false">
      <c r="A221" s="12" t="s">
        <v>669</v>
      </c>
      <c r="B221" s="13" t="s">
        <v>670</v>
      </c>
      <c r="C221" s="14"/>
    </row>
    <row r="222" customFormat="false" ht="15" hidden="false" customHeight="true" outlineLevel="0" collapsed="false">
      <c r="A222" s="12" t="s">
        <v>671</v>
      </c>
      <c r="B222" s="13" t="s">
        <v>456</v>
      </c>
      <c r="C222" s="14"/>
    </row>
    <row r="223" customFormat="false" ht="15" hidden="false" customHeight="true" outlineLevel="0" collapsed="false">
      <c r="A223" s="6" t="s">
        <v>672</v>
      </c>
      <c r="B223" s="7" t="s">
        <v>673</v>
      </c>
      <c r="C223" s="8" t="n">
        <f aca="false">SUM(C224)</f>
        <v>0</v>
      </c>
    </row>
    <row r="224" customFormat="false" ht="15" hidden="false" customHeight="true" outlineLevel="0" collapsed="false">
      <c r="A224" s="12" t="s">
        <v>674</v>
      </c>
      <c r="B224" s="15" t="s">
        <v>675</v>
      </c>
      <c r="C224" s="14"/>
    </row>
    <row r="225" customFormat="false" ht="15" hidden="false" customHeight="true" outlineLevel="0" collapsed="false">
      <c r="A225" s="6" t="s">
        <v>676</v>
      </c>
      <c r="B225" s="7" t="s">
        <v>677</v>
      </c>
      <c r="C225" s="8" t="n">
        <f aca="false">SUM(C226,C227,C228,C229)</f>
        <v>0</v>
      </c>
    </row>
    <row r="226" customFormat="false" ht="15" hidden="false" customHeight="true" outlineLevel="0" collapsed="false">
      <c r="A226" s="12" t="s">
        <v>678</v>
      </c>
      <c r="B226" s="15" t="s">
        <v>679</v>
      </c>
      <c r="C226" s="14"/>
    </row>
    <row r="227" customFormat="false" ht="15" hidden="false" customHeight="true" outlineLevel="0" collapsed="false">
      <c r="A227" s="12" t="s">
        <v>680</v>
      </c>
      <c r="B227" s="15" t="s">
        <v>681</v>
      </c>
      <c r="C227" s="14"/>
    </row>
    <row r="228" customFormat="false" ht="15" hidden="false" customHeight="true" outlineLevel="0" collapsed="false">
      <c r="A228" s="12" t="s">
        <v>682</v>
      </c>
      <c r="B228" s="15" t="s">
        <v>683</v>
      </c>
      <c r="C228" s="14"/>
    </row>
    <row r="229" customFormat="false" ht="15" hidden="false" customHeight="true" outlineLevel="0" collapsed="false">
      <c r="A229" s="12" t="s">
        <v>684</v>
      </c>
      <c r="B229" s="15" t="s">
        <v>685</v>
      </c>
      <c r="C229" s="14"/>
    </row>
    <row r="230" customFormat="false" ht="15" hidden="false" customHeight="true" outlineLevel="0" collapsed="false">
      <c r="A230" s="6" t="s">
        <v>686</v>
      </c>
      <c r="B230" s="7" t="s">
        <v>687</v>
      </c>
      <c r="C230" s="8" t="n">
        <f aca="false">SUM(C231,C232,C233,C234,C235,C236,C237,C288,C297,C305,C322,C326)</f>
        <v>0</v>
      </c>
    </row>
    <row r="231" customFormat="false" ht="15" hidden="false" customHeight="true" outlineLevel="0" collapsed="false">
      <c r="A231" s="12" t="s">
        <v>688</v>
      </c>
      <c r="B231" s="15" t="s">
        <v>689</v>
      </c>
      <c r="C231" s="14"/>
    </row>
    <row r="232" customFormat="false" ht="15" hidden="false" customHeight="true" outlineLevel="0" collapsed="false">
      <c r="A232" s="12" t="s">
        <v>688</v>
      </c>
      <c r="B232" s="15" t="s">
        <v>690</v>
      </c>
      <c r="C232" s="14"/>
    </row>
    <row r="233" customFormat="false" ht="15" hidden="false" customHeight="true" outlineLevel="0" collapsed="false">
      <c r="A233" s="12" t="s">
        <v>691</v>
      </c>
      <c r="B233" s="15" t="s">
        <v>692</v>
      </c>
      <c r="C233" s="14"/>
    </row>
    <row r="234" customFormat="false" ht="15" hidden="false" customHeight="true" outlineLevel="0" collapsed="false">
      <c r="A234" s="12" t="s">
        <v>693</v>
      </c>
      <c r="B234" s="15" t="s">
        <v>694</v>
      </c>
      <c r="C234" s="14"/>
    </row>
    <row r="235" customFormat="false" ht="15" hidden="false" customHeight="true" outlineLevel="0" collapsed="false">
      <c r="A235" s="12" t="s">
        <v>695</v>
      </c>
      <c r="B235" s="15" t="s">
        <v>696</v>
      </c>
      <c r="C235" s="14"/>
    </row>
    <row r="236" customFormat="false" ht="15" hidden="false" customHeight="true" outlineLevel="0" collapsed="false">
      <c r="A236" s="12" t="s">
        <v>697</v>
      </c>
      <c r="B236" s="15" t="s">
        <v>698</v>
      </c>
      <c r="C236" s="14"/>
    </row>
    <row r="237" customFormat="false" ht="15" hidden="false" customHeight="true" outlineLevel="0" collapsed="false">
      <c r="A237" s="9" t="s">
        <v>699</v>
      </c>
      <c r="B237" s="10" t="s">
        <v>114</v>
      </c>
      <c r="C237" s="11" t="n">
        <f aca="false">SUM(C238,C239,C240,C241,C242,C243,C244,C245,C246,C247,C248,C249,C250,C251,C252,C253,C254,C255,C256,C257,C258,C259,C260,C261,C262,C263,C264,C265,C266,C267,C268,C269,C270,C271,C272,C273,C274,C275,C276,C277,C278,C279,C280,C281,C282,C283,C284,C285,C286,C287)</f>
        <v>0</v>
      </c>
    </row>
    <row r="238" customFormat="false" ht="15" hidden="false" customHeight="true" outlineLevel="0" collapsed="false">
      <c r="A238" s="12" t="s">
        <v>700</v>
      </c>
      <c r="B238" s="13" t="s">
        <v>116</v>
      </c>
      <c r="C238" s="14"/>
    </row>
    <row r="239" customFormat="false" ht="15" hidden="false" customHeight="true" outlineLevel="0" collapsed="false">
      <c r="A239" s="12" t="s">
        <v>701</v>
      </c>
      <c r="B239" s="13" t="s">
        <v>118</v>
      </c>
      <c r="C239" s="14"/>
    </row>
    <row r="240" customFormat="false" ht="15" hidden="false" customHeight="true" outlineLevel="0" collapsed="false">
      <c r="A240" s="12" t="s">
        <v>702</v>
      </c>
      <c r="B240" s="13" t="s">
        <v>120</v>
      </c>
      <c r="C240" s="14"/>
    </row>
    <row r="241" customFormat="false" ht="15" hidden="false" customHeight="true" outlineLevel="0" collapsed="false">
      <c r="A241" s="12" t="s">
        <v>703</v>
      </c>
      <c r="B241" s="13" t="s">
        <v>122</v>
      </c>
      <c r="C241" s="14"/>
    </row>
    <row r="242" customFormat="false" ht="15" hidden="false" customHeight="true" outlineLevel="0" collapsed="false">
      <c r="A242" s="12" t="s">
        <v>704</v>
      </c>
      <c r="B242" s="13" t="s">
        <v>124</v>
      </c>
      <c r="C242" s="14"/>
    </row>
    <row r="243" customFormat="false" ht="15" hidden="false" customHeight="true" outlineLevel="0" collapsed="false">
      <c r="A243" s="12" t="s">
        <v>705</v>
      </c>
      <c r="B243" s="13" t="s">
        <v>126</v>
      </c>
      <c r="C243" s="14"/>
    </row>
    <row r="244" customFormat="false" ht="15" hidden="false" customHeight="true" outlineLevel="0" collapsed="false">
      <c r="A244" s="12" t="s">
        <v>706</v>
      </c>
      <c r="B244" s="13" t="s">
        <v>707</v>
      </c>
      <c r="C244" s="14"/>
    </row>
    <row r="245" customFormat="false" ht="15" hidden="false" customHeight="true" outlineLevel="0" collapsed="false">
      <c r="A245" s="12" t="s">
        <v>708</v>
      </c>
      <c r="B245" s="13" t="s">
        <v>709</v>
      </c>
      <c r="C245" s="14"/>
    </row>
    <row r="246" customFormat="false" ht="15" hidden="false" customHeight="true" outlineLevel="0" collapsed="false">
      <c r="A246" s="12" t="s">
        <v>710</v>
      </c>
      <c r="B246" s="13" t="s">
        <v>711</v>
      </c>
      <c r="C246" s="14"/>
    </row>
    <row r="247" customFormat="false" ht="15" hidden="false" customHeight="true" outlineLevel="0" collapsed="false">
      <c r="A247" s="12" t="s">
        <v>712</v>
      </c>
      <c r="B247" s="13" t="s">
        <v>134</v>
      </c>
      <c r="C247" s="14"/>
    </row>
    <row r="248" customFormat="false" ht="15" hidden="false" customHeight="true" outlineLevel="0" collapsed="false">
      <c r="A248" s="12" t="s">
        <v>713</v>
      </c>
      <c r="B248" s="13" t="s">
        <v>714</v>
      </c>
      <c r="C248" s="14"/>
    </row>
    <row r="249" customFormat="false" ht="15" hidden="false" customHeight="true" outlineLevel="0" collapsed="false">
      <c r="A249" s="12" t="s">
        <v>715</v>
      </c>
      <c r="B249" s="13" t="s">
        <v>716</v>
      </c>
      <c r="C249" s="14"/>
    </row>
    <row r="250" customFormat="false" ht="15" hidden="false" customHeight="true" outlineLevel="0" collapsed="false">
      <c r="A250" s="12" t="s">
        <v>717</v>
      </c>
      <c r="B250" s="13" t="s">
        <v>718</v>
      </c>
      <c r="C250" s="14"/>
    </row>
    <row r="251" customFormat="false" ht="15" hidden="false" customHeight="true" outlineLevel="0" collapsed="false">
      <c r="A251" s="12" t="s">
        <v>719</v>
      </c>
      <c r="B251" s="13" t="s">
        <v>136</v>
      </c>
      <c r="C251" s="14"/>
    </row>
    <row r="252" customFormat="false" ht="15" hidden="false" customHeight="true" outlineLevel="0" collapsed="false">
      <c r="A252" s="12" t="s">
        <v>720</v>
      </c>
      <c r="B252" s="13" t="s">
        <v>138</v>
      </c>
      <c r="C252" s="14"/>
    </row>
    <row r="253" customFormat="false" ht="15" hidden="false" customHeight="true" outlineLevel="0" collapsed="false">
      <c r="A253" s="12" t="s">
        <v>721</v>
      </c>
      <c r="B253" s="13" t="s">
        <v>722</v>
      </c>
      <c r="C253" s="14"/>
    </row>
    <row r="254" customFormat="false" ht="15" hidden="false" customHeight="true" outlineLevel="0" collapsed="false">
      <c r="A254" s="12" t="s">
        <v>723</v>
      </c>
      <c r="B254" s="13" t="s">
        <v>724</v>
      </c>
      <c r="C254" s="14"/>
    </row>
    <row r="255" customFormat="false" ht="15" hidden="false" customHeight="true" outlineLevel="0" collapsed="false">
      <c r="A255" s="12" t="s">
        <v>725</v>
      </c>
      <c r="B255" s="13" t="s">
        <v>726</v>
      </c>
      <c r="C255" s="14"/>
    </row>
    <row r="256" customFormat="false" ht="15" hidden="false" customHeight="true" outlineLevel="0" collapsed="false">
      <c r="A256" s="12" t="s">
        <v>727</v>
      </c>
      <c r="B256" s="13" t="s">
        <v>728</v>
      </c>
      <c r="C256" s="14"/>
    </row>
    <row r="257" customFormat="false" ht="15" hidden="false" customHeight="true" outlineLevel="0" collapsed="false">
      <c r="A257" s="12" t="s">
        <v>729</v>
      </c>
      <c r="B257" s="13" t="s">
        <v>146</v>
      </c>
      <c r="C257" s="14"/>
    </row>
    <row r="258" customFormat="false" ht="15" hidden="false" customHeight="true" outlineLevel="0" collapsed="false">
      <c r="A258" s="12" t="s">
        <v>730</v>
      </c>
      <c r="B258" s="13" t="s">
        <v>731</v>
      </c>
      <c r="C258" s="14"/>
    </row>
    <row r="259" customFormat="false" ht="15" hidden="false" customHeight="true" outlineLevel="0" collapsed="false">
      <c r="A259" s="12" t="s">
        <v>732</v>
      </c>
      <c r="B259" s="13" t="s">
        <v>733</v>
      </c>
      <c r="C259" s="14"/>
    </row>
    <row r="260" customFormat="false" ht="15" hidden="false" customHeight="true" outlineLevel="0" collapsed="false">
      <c r="A260" s="12" t="s">
        <v>734</v>
      </c>
      <c r="B260" s="13" t="s">
        <v>140</v>
      </c>
      <c r="C260" s="14"/>
    </row>
    <row r="261" customFormat="false" ht="15" hidden="false" customHeight="true" outlineLevel="0" collapsed="false">
      <c r="A261" s="12" t="s">
        <v>735</v>
      </c>
      <c r="B261" s="13" t="s">
        <v>736</v>
      </c>
      <c r="C261" s="14"/>
    </row>
    <row r="262" customFormat="false" ht="15" hidden="false" customHeight="true" outlineLevel="0" collapsed="false">
      <c r="A262" s="12" t="s">
        <v>737</v>
      </c>
      <c r="B262" s="13" t="s">
        <v>150</v>
      </c>
      <c r="C262" s="14"/>
    </row>
    <row r="263" customFormat="false" ht="15" hidden="false" customHeight="true" outlineLevel="0" collapsed="false">
      <c r="A263" s="12" t="s">
        <v>738</v>
      </c>
      <c r="B263" s="13" t="s">
        <v>739</v>
      </c>
      <c r="C263" s="14"/>
    </row>
    <row r="264" customFormat="false" ht="15" hidden="false" customHeight="true" outlineLevel="0" collapsed="false">
      <c r="A264" s="12" t="s">
        <v>740</v>
      </c>
      <c r="B264" s="13" t="s">
        <v>160</v>
      </c>
      <c r="C264" s="14"/>
    </row>
    <row r="265" customFormat="false" ht="15" hidden="false" customHeight="true" outlineLevel="0" collapsed="false">
      <c r="A265" s="12" t="s">
        <v>741</v>
      </c>
      <c r="B265" s="13" t="s">
        <v>742</v>
      </c>
      <c r="C265" s="14"/>
    </row>
    <row r="266" customFormat="false" ht="15" hidden="false" customHeight="true" outlineLevel="0" collapsed="false">
      <c r="A266" s="12" t="s">
        <v>743</v>
      </c>
      <c r="B266" s="13" t="s">
        <v>744</v>
      </c>
      <c r="C266" s="14"/>
    </row>
    <row r="267" customFormat="false" ht="15" hidden="false" customHeight="true" outlineLevel="0" collapsed="false">
      <c r="A267" s="12" t="s">
        <v>745</v>
      </c>
      <c r="B267" s="13" t="s">
        <v>746</v>
      </c>
      <c r="C267" s="14"/>
    </row>
    <row r="268" customFormat="false" ht="15" hidden="false" customHeight="true" outlineLevel="0" collapsed="false">
      <c r="A268" s="12" t="s">
        <v>747</v>
      </c>
      <c r="B268" s="13" t="s">
        <v>748</v>
      </c>
      <c r="C268" s="14"/>
    </row>
    <row r="269" customFormat="false" ht="15" hidden="false" customHeight="true" outlineLevel="0" collapsed="false">
      <c r="A269" s="12" t="s">
        <v>749</v>
      </c>
      <c r="B269" s="13" t="s">
        <v>242</v>
      </c>
      <c r="C269" s="14"/>
    </row>
    <row r="270" customFormat="false" ht="15" hidden="false" customHeight="true" outlineLevel="0" collapsed="false">
      <c r="A270" s="12" t="s">
        <v>750</v>
      </c>
      <c r="B270" s="13" t="s">
        <v>162</v>
      </c>
      <c r="C270" s="14"/>
    </row>
    <row r="271" customFormat="false" ht="15" hidden="false" customHeight="true" outlineLevel="0" collapsed="false">
      <c r="A271" s="12" t="s">
        <v>751</v>
      </c>
      <c r="B271" s="13" t="s">
        <v>164</v>
      </c>
      <c r="C271" s="14"/>
    </row>
    <row r="272" customFormat="false" ht="15" hidden="false" customHeight="true" outlineLevel="0" collapsed="false">
      <c r="A272" s="12" t="s">
        <v>752</v>
      </c>
      <c r="B272" s="13" t="s">
        <v>166</v>
      </c>
      <c r="C272" s="14"/>
    </row>
    <row r="273" customFormat="false" ht="15" hidden="false" customHeight="true" outlineLevel="0" collapsed="false">
      <c r="A273" s="12" t="s">
        <v>753</v>
      </c>
      <c r="B273" s="13" t="s">
        <v>168</v>
      </c>
      <c r="C273" s="14"/>
    </row>
    <row r="274" customFormat="false" ht="15" hidden="false" customHeight="true" outlineLevel="0" collapsed="false">
      <c r="A274" s="12" t="s">
        <v>754</v>
      </c>
      <c r="B274" s="13" t="s">
        <v>170</v>
      </c>
      <c r="C274" s="14"/>
    </row>
    <row r="275" customFormat="false" ht="15" hidden="false" customHeight="true" outlineLevel="0" collapsed="false">
      <c r="A275" s="12" t="s">
        <v>755</v>
      </c>
      <c r="B275" s="13" t="s">
        <v>172</v>
      </c>
      <c r="C275" s="14"/>
    </row>
    <row r="276" customFormat="false" ht="15" hidden="false" customHeight="true" outlineLevel="0" collapsed="false">
      <c r="A276" s="12" t="s">
        <v>756</v>
      </c>
      <c r="B276" s="13" t="s">
        <v>174</v>
      </c>
      <c r="C276" s="14"/>
    </row>
    <row r="277" customFormat="false" ht="15" hidden="false" customHeight="true" outlineLevel="0" collapsed="false">
      <c r="A277" s="12" t="s">
        <v>757</v>
      </c>
      <c r="B277" s="13" t="s">
        <v>176</v>
      </c>
      <c r="C277" s="14"/>
    </row>
    <row r="278" customFormat="false" ht="15" hidden="false" customHeight="true" outlineLevel="0" collapsed="false">
      <c r="A278" s="12" t="s">
        <v>758</v>
      </c>
      <c r="B278" s="13" t="s">
        <v>178</v>
      </c>
      <c r="C278" s="14"/>
    </row>
    <row r="279" customFormat="false" ht="15" hidden="false" customHeight="true" outlineLevel="0" collapsed="false">
      <c r="A279" s="12" t="s">
        <v>759</v>
      </c>
      <c r="B279" s="13" t="s">
        <v>180</v>
      </c>
      <c r="C279" s="14"/>
    </row>
    <row r="280" customFormat="false" ht="15" hidden="false" customHeight="true" outlineLevel="0" collapsed="false">
      <c r="A280" s="12" t="s">
        <v>760</v>
      </c>
      <c r="B280" s="13" t="s">
        <v>184</v>
      </c>
      <c r="C280" s="14"/>
    </row>
    <row r="281" customFormat="false" ht="15" hidden="false" customHeight="true" outlineLevel="0" collapsed="false">
      <c r="A281" s="12" t="s">
        <v>761</v>
      </c>
      <c r="B281" s="13" t="s">
        <v>762</v>
      </c>
      <c r="C281" s="14"/>
    </row>
    <row r="282" customFormat="false" ht="15" hidden="false" customHeight="true" outlineLevel="0" collapsed="false">
      <c r="A282" s="12" t="s">
        <v>763</v>
      </c>
      <c r="B282" s="13" t="s">
        <v>186</v>
      </c>
      <c r="C282" s="14"/>
    </row>
    <row r="283" customFormat="false" ht="15" hidden="false" customHeight="true" outlineLevel="0" collapsed="false">
      <c r="A283" s="12" t="s">
        <v>764</v>
      </c>
      <c r="B283" s="13" t="s">
        <v>188</v>
      </c>
      <c r="C283" s="14"/>
    </row>
    <row r="284" customFormat="false" ht="15" hidden="false" customHeight="true" outlineLevel="0" collapsed="false">
      <c r="A284" s="12" t="s">
        <v>765</v>
      </c>
      <c r="B284" s="13" t="s">
        <v>766</v>
      </c>
      <c r="C284" s="14"/>
    </row>
    <row r="285" customFormat="false" ht="15" hidden="false" customHeight="true" outlineLevel="0" collapsed="false">
      <c r="A285" s="12" t="s">
        <v>767</v>
      </c>
      <c r="B285" s="13" t="s">
        <v>192</v>
      </c>
      <c r="C285" s="14"/>
    </row>
    <row r="286" customFormat="false" ht="15" hidden="false" customHeight="true" outlineLevel="0" collapsed="false">
      <c r="A286" s="12" t="s">
        <v>768</v>
      </c>
      <c r="B286" s="13" t="s">
        <v>194</v>
      </c>
      <c r="C286" s="14"/>
    </row>
    <row r="287" customFormat="false" ht="15" hidden="false" customHeight="true" outlineLevel="0" collapsed="false">
      <c r="A287" s="12" t="s">
        <v>769</v>
      </c>
      <c r="B287" s="13" t="s">
        <v>196</v>
      </c>
      <c r="C287" s="14"/>
    </row>
    <row r="288" customFormat="false" ht="15" hidden="false" customHeight="true" outlineLevel="0" collapsed="false">
      <c r="A288" s="9" t="s">
        <v>770</v>
      </c>
      <c r="B288" s="10" t="s">
        <v>771</v>
      </c>
      <c r="C288" s="11" t="n">
        <f aca="false">SUM(C289,C290,C291,C292,C293,C294,C295,C296)</f>
        <v>0</v>
      </c>
    </row>
    <row r="289" customFormat="false" ht="15" hidden="false" customHeight="true" outlineLevel="0" collapsed="false">
      <c r="A289" s="12" t="s">
        <v>772</v>
      </c>
      <c r="B289" s="13" t="s">
        <v>200</v>
      </c>
      <c r="C289" s="14"/>
    </row>
    <row r="290" customFormat="false" ht="15" hidden="false" customHeight="true" outlineLevel="0" collapsed="false">
      <c r="A290" s="12" t="s">
        <v>773</v>
      </c>
      <c r="B290" s="13" t="s">
        <v>199</v>
      </c>
      <c r="C290" s="14"/>
    </row>
    <row r="291" customFormat="false" ht="15" hidden="false" customHeight="true" outlineLevel="0" collapsed="false">
      <c r="A291" s="12" t="s">
        <v>774</v>
      </c>
      <c r="B291" s="13" t="s">
        <v>201</v>
      </c>
      <c r="C291" s="14"/>
    </row>
    <row r="292" customFormat="false" ht="15" hidden="false" customHeight="true" outlineLevel="0" collapsed="false">
      <c r="A292" s="12" t="s">
        <v>775</v>
      </c>
      <c r="B292" s="13" t="s">
        <v>776</v>
      </c>
      <c r="C292" s="14"/>
    </row>
    <row r="293" customFormat="false" ht="15" hidden="false" customHeight="true" outlineLevel="0" collapsed="false">
      <c r="A293" s="12" t="s">
        <v>777</v>
      </c>
      <c r="B293" s="13" t="s">
        <v>207</v>
      </c>
      <c r="C293" s="14"/>
    </row>
    <row r="294" customFormat="false" ht="15" hidden="false" customHeight="true" outlineLevel="0" collapsed="false">
      <c r="A294" s="12" t="s">
        <v>778</v>
      </c>
      <c r="B294" s="13" t="s">
        <v>779</v>
      </c>
      <c r="C294" s="14"/>
    </row>
    <row r="295" customFormat="false" ht="15" hidden="false" customHeight="true" outlineLevel="0" collapsed="false">
      <c r="A295" s="12" t="s">
        <v>780</v>
      </c>
      <c r="B295" s="13" t="s">
        <v>211</v>
      </c>
      <c r="C295" s="14"/>
    </row>
    <row r="296" customFormat="false" ht="15" hidden="false" customHeight="true" outlineLevel="0" collapsed="false">
      <c r="A296" s="12" t="s">
        <v>781</v>
      </c>
      <c r="B296" s="13" t="s">
        <v>213</v>
      </c>
      <c r="C296" s="14"/>
    </row>
    <row r="297" customFormat="false" ht="15" hidden="false" customHeight="true" outlineLevel="0" collapsed="false">
      <c r="A297" s="9" t="s">
        <v>782</v>
      </c>
      <c r="B297" s="10" t="s">
        <v>215</v>
      </c>
      <c r="C297" s="11" t="n">
        <f aca="false">SUM(C298,C299,C300,C301,C302,C303,C304)</f>
        <v>0</v>
      </c>
    </row>
    <row r="298" customFormat="false" ht="15" hidden="false" customHeight="true" outlineLevel="0" collapsed="false">
      <c r="A298" s="12" t="s">
        <v>783</v>
      </c>
      <c r="B298" s="13" t="s">
        <v>217</v>
      </c>
      <c r="C298" s="14"/>
    </row>
    <row r="299" customFormat="false" ht="15" hidden="false" customHeight="true" outlineLevel="0" collapsed="false">
      <c r="A299" s="12" t="s">
        <v>784</v>
      </c>
      <c r="B299" s="13" t="s">
        <v>219</v>
      </c>
      <c r="C299" s="14"/>
    </row>
    <row r="300" customFormat="false" ht="15" hidden="false" customHeight="true" outlineLevel="0" collapsed="false">
      <c r="A300" s="12" t="s">
        <v>785</v>
      </c>
      <c r="B300" s="13" t="s">
        <v>221</v>
      </c>
      <c r="C300" s="14"/>
    </row>
    <row r="301" customFormat="false" ht="15" hidden="false" customHeight="true" outlineLevel="0" collapsed="false">
      <c r="A301" s="12" t="s">
        <v>786</v>
      </c>
      <c r="B301" s="13" t="s">
        <v>223</v>
      </c>
      <c r="C301" s="14"/>
    </row>
    <row r="302" customFormat="false" ht="15" hidden="false" customHeight="true" outlineLevel="0" collapsed="false">
      <c r="A302" s="12" t="s">
        <v>787</v>
      </c>
      <c r="B302" s="13" t="s">
        <v>225</v>
      </c>
      <c r="C302" s="14"/>
    </row>
    <row r="303" customFormat="false" ht="15" hidden="false" customHeight="true" outlineLevel="0" collapsed="false">
      <c r="A303" s="12" t="s">
        <v>788</v>
      </c>
      <c r="B303" s="13" t="s">
        <v>227</v>
      </c>
      <c r="C303" s="14"/>
    </row>
    <row r="304" customFormat="false" ht="15" hidden="false" customHeight="true" outlineLevel="0" collapsed="false">
      <c r="A304" s="12" t="s">
        <v>789</v>
      </c>
      <c r="B304" s="13" t="s">
        <v>229</v>
      </c>
      <c r="C304" s="14"/>
    </row>
    <row r="305" customFormat="false" ht="15" hidden="false" customHeight="true" outlineLevel="0" collapsed="false">
      <c r="A305" s="9" t="s">
        <v>790</v>
      </c>
      <c r="B305" s="10" t="s">
        <v>231</v>
      </c>
      <c r="C305" s="11" t="n">
        <f aca="false">SUM(C306,C307,C308,C309,C310,C311,C312,C313,C314,C315,C316,C317,C318,C319,C320,C321)</f>
        <v>0</v>
      </c>
    </row>
    <row r="306" customFormat="false" ht="15" hidden="false" customHeight="true" outlineLevel="0" collapsed="false">
      <c r="A306" s="12" t="s">
        <v>791</v>
      </c>
      <c r="B306" s="13" t="s">
        <v>233</v>
      </c>
      <c r="C306" s="14"/>
    </row>
    <row r="307" customFormat="false" ht="15" hidden="false" customHeight="true" outlineLevel="0" collapsed="false">
      <c r="A307" s="12" t="s">
        <v>792</v>
      </c>
      <c r="B307" s="13" t="s">
        <v>154</v>
      </c>
      <c r="C307" s="14"/>
    </row>
    <row r="308" customFormat="false" ht="15" hidden="false" customHeight="true" outlineLevel="0" collapsed="false">
      <c r="A308" s="12" t="s">
        <v>793</v>
      </c>
      <c r="B308" s="13" t="s">
        <v>156</v>
      </c>
      <c r="C308" s="14"/>
    </row>
    <row r="309" customFormat="false" ht="15" hidden="false" customHeight="true" outlineLevel="0" collapsed="false">
      <c r="A309" s="12" t="s">
        <v>794</v>
      </c>
      <c r="B309" s="13" t="s">
        <v>158</v>
      </c>
      <c r="C309" s="14"/>
    </row>
    <row r="310" customFormat="false" ht="15" hidden="false" customHeight="true" outlineLevel="0" collapsed="false">
      <c r="A310" s="12" t="s">
        <v>795</v>
      </c>
      <c r="B310" s="13" t="s">
        <v>246</v>
      </c>
      <c r="C310" s="14"/>
    </row>
    <row r="311" customFormat="false" ht="15" hidden="false" customHeight="true" outlineLevel="0" collapsed="false">
      <c r="A311" s="12" t="s">
        <v>796</v>
      </c>
      <c r="B311" s="13" t="s">
        <v>248</v>
      </c>
      <c r="C311" s="14"/>
    </row>
    <row r="312" customFormat="false" ht="15" hidden="false" customHeight="true" outlineLevel="0" collapsed="false">
      <c r="A312" s="12" t="s">
        <v>797</v>
      </c>
      <c r="B312" s="13" t="s">
        <v>250</v>
      </c>
      <c r="C312" s="14"/>
    </row>
    <row r="313" customFormat="false" ht="15" hidden="false" customHeight="true" outlineLevel="0" collapsed="false">
      <c r="A313" s="12" t="s">
        <v>798</v>
      </c>
      <c r="B313" s="13" t="s">
        <v>252</v>
      </c>
      <c r="C313" s="14"/>
    </row>
    <row r="314" customFormat="false" ht="15" hidden="false" customHeight="true" outlineLevel="0" collapsed="false">
      <c r="A314" s="12" t="s">
        <v>799</v>
      </c>
      <c r="B314" s="13" t="s">
        <v>254</v>
      </c>
      <c r="C314" s="14"/>
    </row>
    <row r="315" customFormat="false" ht="15" hidden="false" customHeight="true" outlineLevel="0" collapsed="false">
      <c r="A315" s="12" t="s">
        <v>800</v>
      </c>
      <c r="B315" s="13" t="s">
        <v>801</v>
      </c>
      <c r="C315" s="14"/>
    </row>
    <row r="316" customFormat="false" ht="15" hidden="false" customHeight="true" outlineLevel="0" collapsed="false">
      <c r="A316" s="12" t="s">
        <v>802</v>
      </c>
      <c r="B316" s="13" t="s">
        <v>258</v>
      </c>
      <c r="C316" s="14"/>
    </row>
    <row r="317" customFormat="false" ht="15" hidden="false" customHeight="true" outlineLevel="0" collapsed="false">
      <c r="A317" s="12" t="s">
        <v>803</v>
      </c>
      <c r="B317" s="13" t="s">
        <v>260</v>
      </c>
      <c r="C317" s="14"/>
    </row>
    <row r="318" customFormat="false" ht="15" hidden="false" customHeight="true" outlineLevel="0" collapsed="false">
      <c r="A318" s="12" t="s">
        <v>804</v>
      </c>
      <c r="B318" s="13" t="s">
        <v>262</v>
      </c>
      <c r="C318" s="14"/>
    </row>
    <row r="319" customFormat="false" ht="15" hidden="false" customHeight="true" outlineLevel="0" collapsed="false">
      <c r="A319" s="12" t="s">
        <v>805</v>
      </c>
      <c r="B319" s="13" t="s">
        <v>264</v>
      </c>
      <c r="C319" s="14"/>
    </row>
    <row r="320" customFormat="false" ht="15" hidden="false" customHeight="true" outlineLevel="0" collapsed="false">
      <c r="A320" s="12" t="s">
        <v>806</v>
      </c>
      <c r="B320" s="13" t="s">
        <v>266</v>
      </c>
      <c r="C320" s="14"/>
    </row>
    <row r="321" customFormat="false" ht="15" hidden="false" customHeight="true" outlineLevel="0" collapsed="false">
      <c r="A321" s="12" t="s">
        <v>807</v>
      </c>
      <c r="B321" s="13" t="s">
        <v>268</v>
      </c>
      <c r="C321" s="14"/>
    </row>
    <row r="322" customFormat="false" ht="15" hidden="false" customHeight="true" outlineLevel="0" collapsed="false">
      <c r="A322" s="9" t="s">
        <v>808</v>
      </c>
      <c r="B322" s="10" t="s">
        <v>270</v>
      </c>
      <c r="C322" s="11" t="n">
        <f aca="false">SUM(C323,C324,C325)</f>
        <v>0</v>
      </c>
    </row>
    <row r="323" customFormat="false" ht="15" hidden="false" customHeight="true" outlineLevel="0" collapsed="false">
      <c r="A323" s="12" t="s">
        <v>809</v>
      </c>
      <c r="B323" s="13" t="s">
        <v>272</v>
      </c>
      <c r="C323" s="14"/>
    </row>
    <row r="324" customFormat="false" ht="15" hidden="false" customHeight="true" outlineLevel="0" collapsed="false">
      <c r="A324" s="12" t="s">
        <v>810</v>
      </c>
      <c r="B324" s="13" t="s">
        <v>274</v>
      </c>
      <c r="C324" s="14"/>
    </row>
    <row r="325" customFormat="false" ht="15" hidden="false" customHeight="true" outlineLevel="0" collapsed="false">
      <c r="A325" s="12" t="s">
        <v>811</v>
      </c>
      <c r="B325" s="13" t="s">
        <v>276</v>
      </c>
      <c r="C325" s="14"/>
    </row>
    <row r="326" customFormat="false" ht="15" hidden="false" customHeight="true" outlineLevel="0" collapsed="false">
      <c r="A326" s="9" t="s">
        <v>812</v>
      </c>
      <c r="B326" s="10" t="s">
        <v>278</v>
      </c>
      <c r="C326" s="11" t="n">
        <f aca="false">SUM(C327,C328,C329,C330,C331,C332,C333,C334,C335,C336,C337)</f>
        <v>0</v>
      </c>
    </row>
    <row r="327" customFormat="false" ht="15" hidden="false" customHeight="true" outlineLevel="0" collapsed="false">
      <c r="A327" s="12" t="s">
        <v>813</v>
      </c>
      <c r="B327" s="13" t="s">
        <v>280</v>
      </c>
      <c r="C327" s="14"/>
    </row>
    <row r="328" customFormat="false" ht="15" hidden="false" customHeight="true" outlineLevel="0" collapsed="false">
      <c r="A328" s="12" t="s">
        <v>814</v>
      </c>
      <c r="B328" s="13" t="s">
        <v>282</v>
      </c>
      <c r="C328" s="14"/>
    </row>
    <row r="329" customFormat="false" ht="15" hidden="false" customHeight="true" outlineLevel="0" collapsed="false">
      <c r="A329" s="12" t="s">
        <v>815</v>
      </c>
      <c r="B329" s="13" t="s">
        <v>284</v>
      </c>
      <c r="C329" s="14"/>
    </row>
    <row r="330" customFormat="false" ht="15" hidden="false" customHeight="true" outlineLevel="0" collapsed="false">
      <c r="A330" s="12" t="s">
        <v>816</v>
      </c>
      <c r="B330" s="13" t="s">
        <v>286</v>
      </c>
      <c r="C330" s="14"/>
    </row>
    <row r="331" customFormat="false" ht="15" hidden="false" customHeight="true" outlineLevel="0" collapsed="false">
      <c r="A331" s="12" t="s">
        <v>817</v>
      </c>
      <c r="B331" s="13" t="s">
        <v>288</v>
      </c>
      <c r="C331" s="14"/>
    </row>
    <row r="332" customFormat="false" ht="15" hidden="false" customHeight="true" outlineLevel="0" collapsed="false">
      <c r="A332" s="12" t="s">
        <v>818</v>
      </c>
      <c r="B332" s="13" t="s">
        <v>290</v>
      </c>
      <c r="C332" s="14"/>
    </row>
    <row r="333" customFormat="false" ht="15" hidden="false" customHeight="true" outlineLevel="0" collapsed="false">
      <c r="A333" s="12" t="s">
        <v>819</v>
      </c>
      <c r="B333" s="13" t="s">
        <v>292</v>
      </c>
      <c r="C333" s="14"/>
    </row>
    <row r="334" customFormat="false" ht="15" hidden="false" customHeight="true" outlineLevel="0" collapsed="false">
      <c r="A334" s="12" t="s">
        <v>820</v>
      </c>
      <c r="B334" s="13" t="s">
        <v>294</v>
      </c>
      <c r="C334" s="14"/>
    </row>
    <row r="335" customFormat="false" ht="15" hidden="false" customHeight="true" outlineLevel="0" collapsed="false">
      <c r="A335" s="12" t="s">
        <v>821</v>
      </c>
      <c r="B335" s="13" t="s">
        <v>296</v>
      </c>
      <c r="C335" s="14"/>
    </row>
    <row r="336" customFormat="false" ht="15" hidden="false" customHeight="true" outlineLevel="0" collapsed="false">
      <c r="A336" s="12" t="s">
        <v>822</v>
      </c>
      <c r="B336" s="13" t="s">
        <v>298</v>
      </c>
      <c r="C336" s="14"/>
    </row>
    <row r="337" customFormat="false" ht="15" hidden="false" customHeight="true" outlineLevel="0" collapsed="false">
      <c r="A337" s="12" t="s">
        <v>823</v>
      </c>
      <c r="B337" s="13" t="s">
        <v>300</v>
      </c>
      <c r="C337" s="14"/>
    </row>
    <row r="339" customFormat="false" ht="15" hidden="false" customHeight="true" outlineLevel="0" collapsed="false">
      <c r="A339" s="17" t="s">
        <v>824</v>
      </c>
      <c r="B339" s="17"/>
      <c r="C339" s="18" t="n">
        <f aca="false">SUM(C6,C23,C84,C96,C104,C118,C223,C225,C230)</f>
        <v>0</v>
      </c>
    </row>
    <row r="341" customFormat="false" ht="15" hidden="false" customHeight="true" outlineLevel="0" collapsed="false">
      <c r="A341" s="19" t="s">
        <v>302</v>
      </c>
    </row>
    <row r="342" customFormat="false" ht="15" hidden="false" customHeight="true" outlineLevel="0" collapsed="false">
      <c r="A342" s="20" t="s">
        <v>303</v>
      </c>
    </row>
    <row r="343" customFormat="false" ht="15" hidden="false" customHeight="true" outlineLevel="0" collapsed="false">
      <c r="A343" s="20" t="s">
        <v>304</v>
      </c>
    </row>
  </sheetData>
  <mergeCells count="4">
    <mergeCell ref="A1:C1"/>
    <mergeCell ref="A2:C2"/>
    <mergeCell ref="A3:C3"/>
    <mergeCell ref="A339:B3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12"/>
    <col collapsed="false" customWidth="true" hidden="false" outlineLevel="0" max="6" min="6" style="0" width="48"/>
    <col collapsed="false" customWidth="true" hidden="false" outlineLevel="0" max="7" min="7" style="0" width="18"/>
  </cols>
  <sheetData>
    <row r="1" customFormat="false" ht="16.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825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</row>
    <row r="5" customFormat="false" ht="15" hidden="false" customHeight="false" outlineLevel="0" collapsed="false">
      <c r="A5" s="23" t="s">
        <v>826</v>
      </c>
      <c r="B5" s="23"/>
      <c r="C5" s="23"/>
      <c r="E5" s="23" t="s">
        <v>827</v>
      </c>
      <c r="F5" s="23"/>
      <c r="G5" s="23"/>
    </row>
    <row r="6" customFormat="false" ht="19.5" hidden="false" customHeight="true" outlineLevel="0" collapsed="false">
      <c r="A6" s="5" t="s">
        <v>3</v>
      </c>
      <c r="B6" s="5" t="s">
        <v>4</v>
      </c>
      <c r="C6" s="5" t="s">
        <v>5</v>
      </c>
      <c r="E6" s="5" t="s">
        <v>3</v>
      </c>
      <c r="F6" s="5" t="s">
        <v>4</v>
      </c>
      <c r="G6" s="5" t="s">
        <v>5</v>
      </c>
    </row>
    <row r="7" customFormat="false" ht="15" hidden="false" customHeight="false" outlineLevel="0" collapsed="false">
      <c r="A7" s="6" t="s">
        <v>828</v>
      </c>
      <c r="B7" s="7" t="s">
        <v>829</v>
      </c>
      <c r="C7" s="24" t="n">
        <v>0</v>
      </c>
      <c r="E7" s="6" t="s">
        <v>828</v>
      </c>
      <c r="F7" s="7" t="s">
        <v>829</v>
      </c>
      <c r="G7" s="24" t="n">
        <v>0</v>
      </c>
    </row>
    <row r="8" customFormat="false" ht="15" hidden="false" customHeight="false" outlineLevel="0" collapsed="false">
      <c r="A8" s="6" t="s">
        <v>830</v>
      </c>
      <c r="B8" s="7" t="s">
        <v>831</v>
      </c>
      <c r="C8" s="24" t="n">
        <v>0</v>
      </c>
      <c r="E8" s="6" t="s">
        <v>830</v>
      </c>
      <c r="F8" s="7" t="s">
        <v>831</v>
      </c>
      <c r="G8" s="24" t="n">
        <v>0</v>
      </c>
    </row>
    <row r="9" customFormat="false" ht="15" hidden="false" customHeight="false" outlineLevel="0" collapsed="false">
      <c r="A9" s="6" t="s">
        <v>832</v>
      </c>
      <c r="B9" s="25" t="s">
        <v>833</v>
      </c>
      <c r="C9" s="24" t="n">
        <v>0</v>
      </c>
      <c r="E9" s="6" t="s">
        <v>832</v>
      </c>
      <c r="F9" s="25" t="s">
        <v>833</v>
      </c>
      <c r="G9" s="24" t="n">
        <v>0</v>
      </c>
    </row>
    <row r="10" customFormat="false" ht="15" hidden="false" customHeight="false" outlineLevel="0" collapsed="false">
      <c r="A10" s="12" t="s">
        <v>834</v>
      </c>
      <c r="B10" s="13" t="s">
        <v>835</v>
      </c>
      <c r="C10" s="26"/>
      <c r="E10" s="12" t="s">
        <v>834</v>
      </c>
      <c r="F10" s="13" t="s">
        <v>835</v>
      </c>
      <c r="G10" s="26"/>
    </row>
    <row r="11" customFormat="false" ht="15" hidden="false" customHeight="false" outlineLevel="0" collapsed="false">
      <c r="A11" s="12" t="s">
        <v>836</v>
      </c>
      <c r="B11" s="13" t="s">
        <v>837</v>
      </c>
      <c r="C11" s="26"/>
      <c r="E11" s="12" t="s">
        <v>836</v>
      </c>
      <c r="F11" s="13" t="s">
        <v>837</v>
      </c>
      <c r="G11" s="26"/>
    </row>
    <row r="12" customFormat="false" ht="15" hidden="false" customHeight="false" outlineLevel="0" collapsed="false">
      <c r="A12" s="6" t="s">
        <v>838</v>
      </c>
      <c r="B12" s="25" t="s">
        <v>839</v>
      </c>
      <c r="C12" s="24" t="n">
        <v>0</v>
      </c>
      <c r="E12" s="6" t="s">
        <v>838</v>
      </c>
      <c r="F12" s="25" t="s">
        <v>839</v>
      </c>
      <c r="G12" s="24" t="n">
        <v>0</v>
      </c>
    </row>
    <row r="13" customFormat="false" ht="15" hidden="false" customHeight="false" outlineLevel="0" collapsed="false">
      <c r="A13" s="12" t="s">
        <v>840</v>
      </c>
      <c r="B13" s="13" t="s">
        <v>841</v>
      </c>
      <c r="C13" s="26"/>
      <c r="E13" s="12" t="s">
        <v>840</v>
      </c>
      <c r="F13" s="13" t="s">
        <v>841</v>
      </c>
      <c r="G13" s="26"/>
    </row>
    <row r="14" customFormat="false" ht="15" hidden="false" customHeight="false" outlineLevel="0" collapsed="false">
      <c r="A14" s="12" t="s">
        <v>842</v>
      </c>
      <c r="B14" s="13" t="s">
        <v>843</v>
      </c>
      <c r="C14" s="26"/>
      <c r="E14" s="12" t="s">
        <v>842</v>
      </c>
      <c r="F14" s="13" t="s">
        <v>843</v>
      </c>
      <c r="G14" s="26"/>
    </row>
    <row r="15" customFormat="false" ht="15" hidden="false" customHeight="false" outlineLevel="0" collapsed="false">
      <c r="A15" s="12" t="s">
        <v>844</v>
      </c>
      <c r="B15" s="13" t="s">
        <v>845</v>
      </c>
      <c r="C15" s="26"/>
      <c r="E15" s="12" t="s">
        <v>844</v>
      </c>
      <c r="F15" s="13" t="s">
        <v>845</v>
      </c>
      <c r="G15" s="26"/>
    </row>
    <row r="16" customFormat="false" ht="15" hidden="false" customHeight="false" outlineLevel="0" collapsed="false">
      <c r="A16" s="12" t="s">
        <v>846</v>
      </c>
      <c r="B16" s="13" t="s">
        <v>847</v>
      </c>
      <c r="C16" s="26"/>
      <c r="E16" s="12" t="s">
        <v>846</v>
      </c>
      <c r="F16" s="13" t="s">
        <v>847</v>
      </c>
      <c r="G16" s="26"/>
    </row>
    <row r="17" customFormat="false" ht="15" hidden="false" customHeight="false" outlineLevel="0" collapsed="false">
      <c r="A17" s="6" t="s">
        <v>848</v>
      </c>
      <c r="B17" s="25" t="s">
        <v>849</v>
      </c>
      <c r="C17" s="24" t="n">
        <v>0</v>
      </c>
      <c r="E17" s="6" t="s">
        <v>848</v>
      </c>
      <c r="F17" s="25" t="s">
        <v>849</v>
      </c>
      <c r="G17" s="24" t="n">
        <v>0</v>
      </c>
    </row>
    <row r="18" customFormat="false" ht="15" hidden="false" customHeight="false" outlineLevel="0" collapsed="false">
      <c r="A18" s="12" t="s">
        <v>850</v>
      </c>
      <c r="B18" s="13" t="s">
        <v>841</v>
      </c>
      <c r="C18" s="26"/>
      <c r="E18" s="12" t="s">
        <v>850</v>
      </c>
      <c r="F18" s="13" t="s">
        <v>841</v>
      </c>
      <c r="G18" s="26"/>
    </row>
    <row r="19" customFormat="false" ht="15" hidden="false" customHeight="false" outlineLevel="0" collapsed="false">
      <c r="A19" s="12" t="s">
        <v>851</v>
      </c>
      <c r="B19" s="13" t="s">
        <v>852</v>
      </c>
      <c r="C19" s="26"/>
      <c r="E19" s="12" t="s">
        <v>851</v>
      </c>
      <c r="F19" s="13" t="s">
        <v>852</v>
      </c>
      <c r="G19" s="26"/>
    </row>
    <row r="20" customFormat="false" ht="15" hidden="false" customHeight="false" outlineLevel="0" collapsed="false">
      <c r="A20" s="6" t="s">
        <v>853</v>
      </c>
      <c r="B20" s="25" t="s">
        <v>854</v>
      </c>
      <c r="C20" s="24" t="n">
        <v>0</v>
      </c>
      <c r="E20" s="6" t="s">
        <v>853</v>
      </c>
      <c r="F20" s="25" t="s">
        <v>854</v>
      </c>
      <c r="G20" s="24" t="n">
        <v>0</v>
      </c>
    </row>
    <row r="21" customFormat="false" ht="15" hidden="false" customHeight="false" outlineLevel="0" collapsed="false">
      <c r="A21" s="12" t="s">
        <v>855</v>
      </c>
      <c r="B21" s="13" t="s">
        <v>841</v>
      </c>
      <c r="C21" s="26"/>
      <c r="E21" s="12" t="s">
        <v>855</v>
      </c>
      <c r="F21" s="13" t="s">
        <v>841</v>
      </c>
      <c r="G21" s="26"/>
    </row>
    <row r="22" customFormat="false" ht="15" hidden="false" customHeight="false" outlineLevel="0" collapsed="false">
      <c r="A22" s="12" t="s">
        <v>856</v>
      </c>
      <c r="B22" s="13" t="s">
        <v>852</v>
      </c>
      <c r="C22" s="26"/>
      <c r="E22" s="12" t="s">
        <v>856</v>
      </c>
      <c r="F22" s="13" t="s">
        <v>852</v>
      </c>
      <c r="G22" s="26"/>
    </row>
    <row r="23" customFormat="false" ht="15" hidden="false" customHeight="false" outlineLevel="0" collapsed="false">
      <c r="A23" s="6" t="s">
        <v>857</v>
      </c>
      <c r="B23" s="25" t="s">
        <v>858</v>
      </c>
      <c r="C23" s="24" t="n">
        <v>0</v>
      </c>
      <c r="E23" s="6" t="s">
        <v>857</v>
      </c>
      <c r="F23" s="25" t="s">
        <v>858</v>
      </c>
      <c r="G23" s="24" t="n">
        <v>0</v>
      </c>
    </row>
    <row r="24" customFormat="false" ht="15" hidden="false" customHeight="false" outlineLevel="0" collapsed="false">
      <c r="A24" s="12" t="s">
        <v>859</v>
      </c>
      <c r="B24" s="13" t="s">
        <v>860</v>
      </c>
      <c r="C24" s="26"/>
      <c r="E24" s="12" t="s">
        <v>859</v>
      </c>
      <c r="F24" s="13" t="s">
        <v>860</v>
      </c>
      <c r="G24" s="26"/>
    </row>
    <row r="25" customFormat="false" ht="15" hidden="false" customHeight="false" outlineLevel="0" collapsed="false">
      <c r="A25" s="12" t="s">
        <v>861</v>
      </c>
      <c r="B25" s="13" t="s">
        <v>862</v>
      </c>
      <c r="C25" s="26"/>
      <c r="E25" s="12" t="s">
        <v>861</v>
      </c>
      <c r="F25" s="13" t="s">
        <v>862</v>
      </c>
      <c r="G25" s="26"/>
    </row>
    <row r="26" customFormat="false" ht="15" hidden="false" customHeight="false" outlineLevel="0" collapsed="false">
      <c r="A26" s="12" t="s">
        <v>863</v>
      </c>
      <c r="B26" s="13" t="s">
        <v>864</v>
      </c>
      <c r="C26" s="26"/>
      <c r="E26" s="12" t="s">
        <v>863</v>
      </c>
      <c r="F26" s="13" t="s">
        <v>864</v>
      </c>
      <c r="G26" s="26"/>
    </row>
    <row r="27" customFormat="false" ht="15" hidden="false" customHeight="false" outlineLevel="0" collapsed="false">
      <c r="A27" s="12" t="s">
        <v>865</v>
      </c>
      <c r="B27" s="16" t="s">
        <v>866</v>
      </c>
      <c r="C27" s="26"/>
      <c r="E27" s="12" t="s">
        <v>865</v>
      </c>
      <c r="F27" s="16" t="s">
        <v>866</v>
      </c>
      <c r="G27" s="26"/>
    </row>
    <row r="28" customFormat="false" ht="15" hidden="false" customHeight="false" outlineLevel="0" collapsed="false">
      <c r="A28" s="12" t="s">
        <v>867</v>
      </c>
      <c r="B28" s="16" t="s">
        <v>868</v>
      </c>
      <c r="C28" s="26"/>
      <c r="E28" s="12" t="s">
        <v>867</v>
      </c>
      <c r="F28" s="16" t="s">
        <v>868</v>
      </c>
      <c r="G28" s="26"/>
    </row>
    <row r="29" customFormat="false" ht="15" hidden="false" customHeight="false" outlineLevel="0" collapsed="false">
      <c r="A29" s="12" t="s">
        <v>869</v>
      </c>
      <c r="B29" s="16" t="s">
        <v>870</v>
      </c>
      <c r="C29" s="26"/>
      <c r="E29" s="12" t="s">
        <v>869</v>
      </c>
      <c r="F29" s="16" t="s">
        <v>870</v>
      </c>
      <c r="G29" s="26"/>
    </row>
    <row r="30" customFormat="false" ht="15" hidden="false" customHeight="false" outlineLevel="0" collapsed="false">
      <c r="A30" s="12" t="s">
        <v>871</v>
      </c>
      <c r="B30" s="16" t="s">
        <v>872</v>
      </c>
      <c r="C30" s="26"/>
      <c r="E30" s="12" t="s">
        <v>871</v>
      </c>
      <c r="F30" s="16" t="s">
        <v>872</v>
      </c>
      <c r="G30" s="26"/>
    </row>
    <row r="32" customFormat="false" ht="15" hidden="false" customHeight="false" outlineLevel="0" collapsed="false">
      <c r="A32" s="17" t="s">
        <v>873</v>
      </c>
      <c r="B32" s="17"/>
      <c r="C32" s="27" t="n">
        <f aca="false">SUM(C10,C11,C13,C14,C15,C16,C18,C19,C21,C22,C24,C25,C26,C27,C28,C29,C30)</f>
        <v>0</v>
      </c>
      <c r="E32" s="17" t="s">
        <v>874</v>
      </c>
      <c r="F32" s="17"/>
      <c r="G32" s="27" t="n">
        <f aca="false">SUM(G10,G11,G13,G14,G15,G16,G18,G19,G21,G22,G24,G25,G26,G27,G28,G29,G30)</f>
        <v>0</v>
      </c>
    </row>
    <row r="34" customFormat="false" ht="15" hidden="false" customHeight="false" outlineLevel="0" collapsed="false">
      <c r="A34" s="28" t="s">
        <v>302</v>
      </c>
    </row>
    <row r="35" customFormat="false" ht="15" hidden="false" customHeight="false" outlineLevel="0" collapsed="false">
      <c r="A35" s="29" t="s">
        <v>875</v>
      </c>
    </row>
    <row r="36" customFormat="false" ht="15" hidden="false" customHeight="false" outlineLevel="0" collapsed="false">
      <c r="A36" s="29" t="s">
        <v>876</v>
      </c>
    </row>
  </sheetData>
  <mergeCells count="7">
    <mergeCell ref="A1:G1"/>
    <mergeCell ref="A2:G2"/>
    <mergeCell ref="A3:G3"/>
    <mergeCell ref="A5:C5"/>
    <mergeCell ref="E5:G5"/>
    <mergeCell ref="A32:B32"/>
    <mergeCell ref="E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2026-08-14T07:25:45Z</dcterms:created>
  <dc:creator>openpyxl</dc:creator>
  <dc:description/>
  <dc:language>en-US</dc:language>
  <cp:lastModifiedBy/>
  <dcterms:modified xsi:type="dcterms:W3CDTF">2026-08-14T08:08:53Z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